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koturcic/Library/CloudStorage/GoogleDrive-danko.turcic@gmail.com/My Drive/MGT 207/Week 2 (Abridged Optimization)/"/>
    </mc:Choice>
  </mc:AlternateContent>
  <xr:revisionPtr revIDLastSave="0" documentId="13_ncr:1_{533E4F51-390E-C248-9E50-81E865D984E6}" xr6:coauthVersionLast="47" xr6:coauthVersionMax="47" xr10:uidLastSave="{00000000-0000-0000-0000-000000000000}"/>
  <bookViews>
    <workbookView xWindow="740" yWindow="500" windowWidth="30240" windowHeight="17700" xr2:uid="{00000000-000D-0000-FFFF-FFFF00000000}"/>
  </bookViews>
  <sheets>
    <sheet name="Quantity Optimization" sheetId="2" r:id="rId1"/>
    <sheet name="Drawing the Function" sheetId="1" r:id="rId2"/>
    <sheet name="Purchase and Sales Optimization" sheetId="3" r:id="rId3"/>
  </sheets>
  <definedNames>
    <definedName name="solver_adj" localSheetId="1" hidden="1">'Drawing the Function'!$B$8</definedName>
    <definedName name="solver_adj" localSheetId="2" hidden="1">'Purchase and Sales Optimization'!$C$3:$C$4</definedName>
    <definedName name="solver_adj" localSheetId="0" hidden="1">'Quantity Optimization'!$C$3</definedName>
    <definedName name="solver_cvg" localSheetId="1" hidden="1">0.0001</definedName>
    <definedName name="solver_cvg" localSheetId="2" hidden="1">0.0001</definedName>
    <definedName name="solver_cvg" localSheetId="0" hidden="1">0.0001</definedName>
    <definedName name="solver_drv" localSheetId="1" hidden="1">1</definedName>
    <definedName name="solver_drv" localSheetId="2" hidden="1">1</definedName>
    <definedName name="solver_drv" localSheetId="0" hidden="1">1</definedName>
    <definedName name="solver_eng" localSheetId="2" hidden="1">1</definedName>
    <definedName name="solver_eng" localSheetId="0" hidden="1">1</definedName>
    <definedName name="solver_est" localSheetId="1" hidden="1">1</definedName>
    <definedName name="solver_est" localSheetId="2" hidden="1">1</definedName>
    <definedName name="solver_est" localSheetId="0" hidden="1">1</definedName>
    <definedName name="solver_itr" localSheetId="1" hidden="1">100</definedName>
    <definedName name="solver_itr" localSheetId="2" hidden="1">100</definedName>
    <definedName name="solver_itr" localSheetId="0" hidden="1">100</definedName>
    <definedName name="solver_lhs1" localSheetId="1" hidden="1">'Drawing the Function'!$B$8</definedName>
    <definedName name="solver_lhs1" localSheetId="2" hidden="1">'Purchase and Sales Optimization'!$C$3</definedName>
    <definedName name="solver_lhs1" localSheetId="0" hidden="1">'Quantity Optimization'!$C$3</definedName>
    <definedName name="solver_lhs2" localSheetId="2" hidden="1">'Purchase and Sales Optimization'!$C$3:$C$4</definedName>
    <definedName name="solver_lhs2" localSheetId="0" hidden="1">'Quantity Optimization'!$C$3</definedName>
    <definedName name="solver_lhs3" localSheetId="2" hidden="1">'Purchase and Sales Optimization'!$C$4</definedName>
    <definedName name="solver_lhs4" localSheetId="2" hidden="1">'Purchase and Sales Optimization'!$C$4</definedName>
    <definedName name="solver_lin" localSheetId="1" hidden="1">2</definedName>
    <definedName name="solver_lin" localSheetId="2" hidden="1">2</definedName>
    <definedName name="solver_lin" localSheetId="0" hidden="1">2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0.075</definedName>
    <definedName name="solver_mrt" localSheetId="0" hidden="1">0.075</definedName>
    <definedName name="solver_msl" localSheetId="2" hidden="1">2</definedName>
    <definedName name="solver_msl" localSheetId="0" hidden="1">2</definedName>
    <definedName name="solver_neg" localSheetId="1" hidden="1">1</definedName>
    <definedName name="solver_neg" localSheetId="2" hidden="1">1</definedName>
    <definedName name="solver_neg" localSheetId="0" hidden="1">1</definedName>
    <definedName name="solver_nod" localSheetId="2" hidden="1">2147483647</definedName>
    <definedName name="solver_nod" localSheetId="0" hidden="1">2147483647</definedName>
    <definedName name="solver_num" localSheetId="1" hidden="1">1</definedName>
    <definedName name="solver_num" localSheetId="2" hidden="1">3</definedName>
    <definedName name="solver_num" localSheetId="0" hidden="1">2</definedName>
    <definedName name="solver_nwt" localSheetId="1" hidden="1">1</definedName>
    <definedName name="solver_nwt" localSheetId="2" hidden="1">1</definedName>
    <definedName name="solver_nwt" localSheetId="0" hidden="1">1</definedName>
    <definedName name="solver_opt" localSheetId="1" hidden="1">'Drawing the Function'!$B$11</definedName>
    <definedName name="solver_opt" localSheetId="2" hidden="1">'Purchase and Sales Optimization'!$C$11</definedName>
    <definedName name="solver_opt" localSheetId="0" hidden="1">'Quantity Optimization'!$C$8</definedName>
    <definedName name="solver_pre" localSheetId="1" hidden="1">0.000001</definedName>
    <definedName name="solver_pre" localSheetId="2" hidden="1">0.000001</definedName>
    <definedName name="solver_pre" localSheetId="0" hidden="1">0.000001</definedName>
    <definedName name="solver_rbv" localSheetId="2" hidden="1">1</definedName>
    <definedName name="solver_rbv" localSheetId="0" hidden="1">1</definedName>
    <definedName name="solver_rel1" localSheetId="1" hidden="1">4</definedName>
    <definedName name="solver_rel1" localSheetId="2" hidden="1">1</definedName>
    <definedName name="solver_rel1" localSheetId="0" hidden="1">1</definedName>
    <definedName name="solver_rel2" localSheetId="2" hidden="1">4</definedName>
    <definedName name="solver_rel2" localSheetId="0" hidden="1">4</definedName>
    <definedName name="solver_rel3" localSheetId="2" hidden="1">1</definedName>
    <definedName name="solver_rel4" localSheetId="2" hidden="1">1</definedName>
    <definedName name="solver_rhs1" localSheetId="1" hidden="1">integer</definedName>
    <definedName name="solver_rhs1" localSheetId="2" hidden="1">30</definedName>
    <definedName name="solver_rhs1" localSheetId="0" hidden="1">30</definedName>
    <definedName name="solver_rhs2" localSheetId="2" hidden="1">integer</definedName>
    <definedName name="solver_rhs2" localSheetId="0" hidden="1">"integer"</definedName>
    <definedName name="solver_rhs3" localSheetId="2" hidden="1">'Purchase and Sales Optimization'!$C$3</definedName>
    <definedName name="solver_rhs4" localSheetId="2" hidden="1">30</definedName>
    <definedName name="solver_rlx" localSheetId="2" hidden="1">2</definedName>
    <definedName name="solver_rlx" localSheetId="0" hidden="1">2</definedName>
    <definedName name="solver_rsd" localSheetId="2" hidden="1">0</definedName>
    <definedName name="solver_rsd" localSheetId="0" hidden="1">0</definedName>
    <definedName name="solver_scl" localSheetId="1" hidden="1">2</definedName>
    <definedName name="solver_scl" localSheetId="2" hidden="1">2</definedName>
    <definedName name="solver_scl" localSheetId="0" hidden="1">2</definedName>
    <definedName name="solver_sho" localSheetId="1" hidden="1">2</definedName>
    <definedName name="solver_sho" localSheetId="2" hidden="1">2</definedName>
    <definedName name="solver_sho" localSheetId="0" hidden="1">2</definedName>
    <definedName name="solver_ssz" localSheetId="2" hidden="1">100</definedName>
    <definedName name="solver_ssz" localSheetId="0" hidden="1">100</definedName>
    <definedName name="solver_tim" localSheetId="1" hidden="1">100</definedName>
    <definedName name="solver_tim" localSheetId="2" hidden="1">100</definedName>
    <definedName name="solver_tim" localSheetId="0" hidden="1">100</definedName>
    <definedName name="solver_tol" localSheetId="1" hidden="1">0.05</definedName>
    <definedName name="solver_tol" localSheetId="2" hidden="1">0</definedName>
    <definedName name="solver_tol" localSheetId="0" hidden="1">0</definedName>
    <definedName name="solver_typ" localSheetId="1" hidden="1">1</definedName>
    <definedName name="solver_typ" localSheetId="2" hidden="1">1</definedName>
    <definedName name="solver_typ" localSheetId="0" hidden="1">1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2" hidden="1">3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3"/>
  <c r="C10" i="3" s="1"/>
  <c r="C6" i="3"/>
  <c r="C9" i="3" s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H22" i="1" s="1"/>
  <c r="F23" i="1"/>
  <c r="G23" i="1"/>
  <c r="F24" i="1"/>
  <c r="G24" i="1"/>
  <c r="H24" i="1" s="1"/>
  <c r="F25" i="1"/>
  <c r="G25" i="1"/>
  <c r="F26" i="1"/>
  <c r="G26" i="1"/>
  <c r="F27" i="1"/>
  <c r="G27" i="1"/>
  <c r="F28" i="1"/>
  <c r="G28" i="1"/>
  <c r="H28" i="1" s="1"/>
  <c r="F29" i="1"/>
  <c r="G29" i="1"/>
  <c r="F30" i="1"/>
  <c r="G30" i="1"/>
  <c r="F31" i="1"/>
  <c r="G31" i="1"/>
  <c r="F32" i="1"/>
  <c r="G32" i="1"/>
  <c r="H32" i="1" s="1"/>
  <c r="F33" i="1"/>
  <c r="G33" i="1"/>
  <c r="F34" i="1"/>
  <c r="G34" i="1"/>
  <c r="F35" i="1"/>
  <c r="G35" i="1"/>
  <c r="F36" i="1"/>
  <c r="G36" i="1"/>
  <c r="H36" i="1"/>
  <c r="F37" i="1"/>
  <c r="G37" i="1"/>
  <c r="F38" i="1"/>
  <c r="G38" i="1"/>
  <c r="H38" i="1" s="1"/>
  <c r="F39" i="1"/>
  <c r="G39" i="1"/>
  <c r="F40" i="1"/>
  <c r="G40" i="1"/>
  <c r="G10" i="1"/>
  <c r="F10" i="1"/>
  <c r="B11" i="1"/>
  <c r="H18" i="1" l="1"/>
  <c r="H20" i="1"/>
  <c r="H10" i="1"/>
  <c r="H33" i="1"/>
  <c r="H40" i="1"/>
  <c r="H35" i="1"/>
  <c r="H31" i="1"/>
  <c r="H12" i="1"/>
  <c r="H30" i="1"/>
  <c r="H19" i="1"/>
  <c r="H15" i="1"/>
  <c r="H14" i="1"/>
  <c r="H17" i="1"/>
  <c r="H26" i="1"/>
  <c r="H39" i="1"/>
  <c r="H27" i="1"/>
  <c r="H25" i="1"/>
  <c r="H23" i="1"/>
  <c r="H16" i="1"/>
  <c r="H11" i="1"/>
  <c r="H34" i="1"/>
  <c r="H37" i="1"/>
  <c r="H29" i="1"/>
  <c r="H21" i="1"/>
  <c r="H13" i="1"/>
  <c r="C8" i="2"/>
  <c r="C11" i="3"/>
  <c r="C13" i="3" l="1"/>
  <c r="F3" i="3" s="1"/>
</calcChain>
</file>

<file path=xl/sharedStrings.xml><?xml version="1.0" encoding="utf-8"?>
<sst xmlns="http://schemas.openxmlformats.org/spreadsheetml/2006/main" count="35" uniqueCount="29">
  <si>
    <t>Cost</t>
  </si>
  <si>
    <t>Quantity</t>
  </si>
  <si>
    <t>Price</t>
  </si>
  <si>
    <t>Profit</t>
  </si>
  <si>
    <t>Profit Optimization Exercise</t>
  </si>
  <si>
    <t>Purchased Quantity (Q)</t>
  </si>
  <si>
    <t>Quantity Sold (S)</t>
  </si>
  <si>
    <t>= 2*if(Q&lt;15,100%,60%)</t>
  </si>
  <si>
    <t>= 4 - 0.15*S</t>
  </si>
  <si>
    <t>= c*Q</t>
  </si>
  <si>
    <t>Cost per unit (c)</t>
  </si>
  <si>
    <t>Sales price (p)</t>
  </si>
  <si>
    <t>= p*S</t>
  </si>
  <si>
    <t>Procurement cost (PC)</t>
  </si>
  <si>
    <t>Revenues (REV)</t>
  </si>
  <si>
    <t>= REV - PC</t>
  </si>
  <si>
    <t>Revenues</t>
  </si>
  <si>
    <t>Procurement Cost</t>
  </si>
  <si>
    <t>=C3*(4-C3*0.15)</t>
  </si>
  <si>
    <t>=C5+C6</t>
  </si>
  <si>
    <t>=-C3*2*IF(C3&lt;15,100%,60%)</t>
  </si>
  <si>
    <t>Note: If Solver yields the quantity 7, this is not an optimal solution. It is a "locally optimal" solution.</t>
  </si>
  <si>
    <t>The "global solution" is 15 units, and the optimal profit is $8.25</t>
  </si>
  <si>
    <t>Profit only if S&lt;=Q</t>
  </si>
  <si>
    <t>Q</t>
  </si>
  <si>
    <t>Sales</t>
  </si>
  <si>
    <t>Note on the table on the side that the global optimum is:</t>
  </si>
  <si>
    <t>Q = 15, Sales = 13, Profit: $8.65.</t>
  </si>
  <si>
    <t>Remark: Note that the optimal (global optimal) solution is Q=15. However, there is also a local optimum on Q=7' (Solver might "bump" into it).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</si>
</sst>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44" fontId="3" fillId="0" borderId="0" xfId="1" applyFont="1"/>
    <xf numFmtId="44" fontId="4" fillId="4" borderId="1" xfId="0" applyNumberFormat="1" applyFont="1" applyFill="1" applyBorder="1"/>
    <xf numFmtId="44" fontId="3" fillId="0" borderId="0" xfId="0" applyNumberFormat="1" applyFont="1"/>
    <xf numFmtId="0" fontId="3" fillId="0" borderId="0" xfId="0" quotePrefix="1" applyFont="1"/>
    <xf numFmtId="0" fontId="7" fillId="0" borderId="0" xfId="0" applyFont="1"/>
    <xf numFmtId="0" fontId="4" fillId="0" borderId="0" xfId="0" applyFont="1"/>
    <xf numFmtId="0" fontId="4" fillId="0" borderId="2" xfId="0" applyFont="1" applyBorder="1"/>
    <xf numFmtId="44" fontId="3" fillId="5" borderId="0" xfId="1" applyFont="1" applyFill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xVal>
            <c:numRef>
              <c:f>'Drawing the Function'!$E$10:$E$40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'Drawing the Function'!$H$10:$H$40</c:f>
              <c:numCache>
                <c:formatCode>General</c:formatCode>
                <c:ptCount val="31"/>
                <c:pt idx="0">
                  <c:v>0</c:v>
                </c:pt>
                <c:pt idx="1">
                  <c:v>1.85</c:v>
                </c:pt>
                <c:pt idx="2">
                  <c:v>3.4000000000000004</c:v>
                </c:pt>
                <c:pt idx="3">
                  <c:v>4.6499999999999995</c:v>
                </c:pt>
                <c:pt idx="4">
                  <c:v>5.6</c:v>
                </c:pt>
                <c:pt idx="5">
                  <c:v>6.25</c:v>
                </c:pt>
                <c:pt idx="6">
                  <c:v>6.6000000000000005</c:v>
                </c:pt>
                <c:pt idx="7">
                  <c:v>6.6500000000000012</c:v>
                </c:pt>
                <c:pt idx="8">
                  <c:v>6.3999999999999986</c:v>
                </c:pt>
                <c:pt idx="9">
                  <c:v>5.8500000000000032</c:v>
                </c:pt>
                <c:pt idx="10">
                  <c:v>5</c:v>
                </c:pt>
                <c:pt idx="11">
                  <c:v>3.850000000000001</c:v>
                </c:pt>
                <c:pt idx="12">
                  <c:v>2.4000000000000021</c:v>
                </c:pt>
                <c:pt idx="13">
                  <c:v>0.64999999999999769</c:v>
                </c:pt>
                <c:pt idx="14">
                  <c:v>-1.4000000000000012</c:v>
                </c:pt>
                <c:pt idx="15">
                  <c:v>8.25</c:v>
                </c:pt>
                <c:pt idx="16">
                  <c:v>6.4000000000000021</c:v>
                </c:pt>
                <c:pt idx="17">
                  <c:v>4.2500000000000036</c:v>
                </c:pt>
                <c:pt idx="18">
                  <c:v>1.8000000000000056</c:v>
                </c:pt>
                <c:pt idx="19">
                  <c:v>-0.95000000000000084</c:v>
                </c:pt>
                <c:pt idx="20">
                  <c:v>-3.9999999999999991</c:v>
                </c:pt>
                <c:pt idx="21">
                  <c:v>-7.349999999999997</c:v>
                </c:pt>
                <c:pt idx="22">
                  <c:v>-10.999999999999995</c:v>
                </c:pt>
                <c:pt idx="23">
                  <c:v>-14.949999999999992</c:v>
                </c:pt>
                <c:pt idx="24">
                  <c:v>-19.199999999999989</c:v>
                </c:pt>
                <c:pt idx="25">
                  <c:v>-23.75</c:v>
                </c:pt>
                <c:pt idx="26">
                  <c:v>-28.599999999999998</c:v>
                </c:pt>
                <c:pt idx="27">
                  <c:v>-33.749999999999993</c:v>
                </c:pt>
                <c:pt idx="28">
                  <c:v>-39.200000000000003</c:v>
                </c:pt>
                <c:pt idx="29">
                  <c:v>-44.949999999999989</c:v>
                </c:pt>
                <c:pt idx="30">
                  <c:v>-51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4C-4D9F-A753-8568D8676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118872"/>
        <c:axId val="839119264"/>
      </c:scatterChart>
      <c:valAx>
        <c:axId val="839118872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crossAx val="839119264"/>
        <c:crosses val="autoZero"/>
        <c:crossBetween val="midCat"/>
      </c:valAx>
      <c:valAx>
        <c:axId val="839119264"/>
        <c:scaling>
          <c:orientation val="minMax"/>
          <c:max val="10"/>
          <c:min val="-4"/>
        </c:scaling>
        <c:delete val="0"/>
        <c:axPos val="l"/>
        <c:majorGridlines/>
        <c:numFmt formatCode="&quot;$&quot;#,##0.00" sourceLinked="0"/>
        <c:majorTickMark val="out"/>
        <c:minorTickMark val="none"/>
        <c:tickLblPos val="nextTo"/>
        <c:crossAx val="83911887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295602</xdr:colOff>
      <xdr:row>8</xdr:row>
      <xdr:rowOff>32844</xdr:rowOff>
    </xdr:from>
    <xdr:to>
      <xdr:col>16</xdr:col>
      <xdr:colOff>400707</xdr:colOff>
      <xdr:row>27</xdr:row>
      <xdr:rowOff>96563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0" zoomScaleNormal="130" workbookViewId="0">
      <selection activeCell="C4" sqref="C4"/>
    </sheetView>
  </sheetViews>
  <sheetFormatPr baseColWidth="10" defaultColWidth="9.25" defaultRowHeight="19" x14ac:dyDescent="0.25"/>
  <cols>
    <col min="1" max="1" width="9.25" style="4"/>
    <col min="2" max="2" width="34.25" style="4" customWidth="1"/>
    <col min="3" max="3" width="20.75" style="4" customWidth="1"/>
    <col min="4" max="4" width="37.25" style="4" customWidth="1"/>
    <col min="5" max="16384" width="9.25" style="4"/>
  </cols>
  <sheetData>
    <row r="1" spans="1:5" x14ac:dyDescent="0.25">
      <c r="A1" s="14" t="s">
        <v>4</v>
      </c>
      <c r="B1" s="14"/>
      <c r="C1" s="14"/>
      <c r="D1" s="14"/>
      <c r="E1" s="14"/>
    </row>
    <row r="3" spans="1:5" x14ac:dyDescent="0.25">
      <c r="B3" s="4" t="s">
        <v>1</v>
      </c>
      <c r="C3" s="5">
        <v>1</v>
      </c>
    </row>
    <row r="5" spans="1:5" x14ac:dyDescent="0.25">
      <c r="B5" s="4" t="s">
        <v>17</v>
      </c>
      <c r="C5" s="6">
        <f>-C3*2*IF(C3&lt;15,100%,60%)</f>
        <v>-2</v>
      </c>
      <c r="D5" s="9" t="s">
        <v>20</v>
      </c>
    </row>
    <row r="6" spans="1:5" x14ac:dyDescent="0.25">
      <c r="B6" s="4" t="s">
        <v>16</v>
      </c>
      <c r="C6" s="6">
        <f>C3*(4-C3*0.15)</f>
        <v>3.85</v>
      </c>
      <c r="D6" s="9" t="s">
        <v>18</v>
      </c>
    </row>
    <row r="8" spans="1:5" x14ac:dyDescent="0.25">
      <c r="B8" s="4" t="s">
        <v>3</v>
      </c>
      <c r="C8" s="7">
        <f>C5+C6</f>
        <v>1.85</v>
      </c>
      <c r="D8" s="9" t="s">
        <v>19</v>
      </c>
    </row>
    <row r="10" spans="1:5" x14ac:dyDescent="0.25">
      <c r="B10" s="4" t="s">
        <v>21</v>
      </c>
    </row>
    <row r="11" spans="1:5" x14ac:dyDescent="0.25">
      <c r="B11" s="4" t="s">
        <v>22</v>
      </c>
    </row>
  </sheetData>
  <mergeCells count="1">
    <mergeCell ref="A1:E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40"/>
  <sheetViews>
    <sheetView zoomScale="130" zoomScaleNormal="130" workbookViewId="0">
      <selection activeCell="A4" sqref="A4"/>
    </sheetView>
  </sheetViews>
  <sheetFormatPr baseColWidth="10" defaultColWidth="8.75" defaultRowHeight="14" x14ac:dyDescent="0.2"/>
  <cols>
    <col min="2" max="2" width="9.25" style="1"/>
    <col min="5" max="8" width="9.25" style="10"/>
  </cols>
  <sheetData>
    <row r="2" spans="1:9" ht="23.25" customHeight="1" x14ac:dyDescent="0.15">
      <c r="A2" s="15" t="s">
        <v>28</v>
      </c>
      <c r="B2" s="15"/>
      <c r="C2" s="15"/>
      <c r="D2" s="15"/>
      <c r="E2" s="15"/>
      <c r="F2" s="15"/>
      <c r="G2" s="15"/>
      <c r="H2" s="15"/>
      <c r="I2" s="15"/>
    </row>
    <row r="3" spans="1:9" ht="23.25" customHeight="1" x14ac:dyDescent="0.15">
      <c r="A3" s="15"/>
      <c r="B3" s="15"/>
      <c r="C3" s="15"/>
      <c r="D3" s="15"/>
      <c r="E3" s="15"/>
      <c r="F3" s="15"/>
      <c r="G3" s="15"/>
      <c r="H3" s="15"/>
      <c r="I3" s="15"/>
    </row>
    <row r="7" spans="1:9" x14ac:dyDescent="0.2">
      <c r="B7" s="1" t="s">
        <v>1</v>
      </c>
    </row>
    <row r="8" spans="1:9" x14ac:dyDescent="0.2">
      <c r="B8" s="2">
        <v>15</v>
      </c>
    </row>
    <row r="9" spans="1:9" x14ac:dyDescent="0.2">
      <c r="E9" s="10" t="s">
        <v>1</v>
      </c>
      <c r="F9" s="10" t="s">
        <v>0</v>
      </c>
      <c r="G9" s="10" t="s">
        <v>2</v>
      </c>
      <c r="H9" s="10" t="s">
        <v>3</v>
      </c>
    </row>
    <row r="10" spans="1:9" x14ac:dyDescent="0.2">
      <c r="B10" s="1" t="s">
        <v>3</v>
      </c>
      <c r="E10" s="10">
        <v>0</v>
      </c>
      <c r="F10" s="10">
        <f>2*IF(E10&lt;15,100%,60%)</f>
        <v>2</v>
      </c>
      <c r="G10" s="10">
        <f>4-0.15*E10</f>
        <v>4</v>
      </c>
      <c r="H10" s="10">
        <f>E10*(G10-F10)</f>
        <v>0</v>
      </c>
    </row>
    <row r="11" spans="1:9" x14ac:dyDescent="0.2">
      <c r="B11" s="3">
        <f>B8*(M6+M7*B8-IF(B8&lt;I6,J6,J7))</f>
        <v>0</v>
      </c>
      <c r="E11" s="10">
        <v>1</v>
      </c>
      <c r="F11" s="10">
        <f t="shared" ref="F11:F40" si="0">2*IF(E11&lt;15,100%,60%)</f>
        <v>2</v>
      </c>
      <c r="G11" s="10">
        <f t="shared" ref="G11:G40" si="1">4-0.15*E11</f>
        <v>3.85</v>
      </c>
      <c r="H11" s="10">
        <f t="shared" ref="H11:H40" si="2">E11*(G11-F11)</f>
        <v>1.85</v>
      </c>
    </row>
    <row r="12" spans="1:9" x14ac:dyDescent="0.2">
      <c r="E12" s="10">
        <v>2</v>
      </c>
      <c r="F12" s="10">
        <f t="shared" si="0"/>
        <v>2</v>
      </c>
      <c r="G12" s="10">
        <f t="shared" si="1"/>
        <v>3.7</v>
      </c>
      <c r="H12" s="10">
        <f t="shared" si="2"/>
        <v>3.4000000000000004</v>
      </c>
    </row>
    <row r="13" spans="1:9" x14ac:dyDescent="0.2">
      <c r="E13" s="10">
        <v>3</v>
      </c>
      <c r="F13" s="10">
        <f t="shared" si="0"/>
        <v>2</v>
      </c>
      <c r="G13" s="10">
        <f t="shared" si="1"/>
        <v>3.55</v>
      </c>
      <c r="H13" s="10">
        <f t="shared" si="2"/>
        <v>4.6499999999999995</v>
      </c>
    </row>
    <row r="14" spans="1:9" x14ac:dyDescent="0.2">
      <c r="E14" s="10">
        <v>4</v>
      </c>
      <c r="F14" s="10">
        <f t="shared" si="0"/>
        <v>2</v>
      </c>
      <c r="G14" s="10">
        <f t="shared" si="1"/>
        <v>3.4</v>
      </c>
      <c r="H14" s="10">
        <f t="shared" si="2"/>
        <v>5.6</v>
      </c>
    </row>
    <row r="15" spans="1:9" x14ac:dyDescent="0.2">
      <c r="E15" s="10">
        <v>5</v>
      </c>
      <c r="F15" s="10">
        <f t="shared" si="0"/>
        <v>2</v>
      </c>
      <c r="G15" s="10">
        <f t="shared" si="1"/>
        <v>3.25</v>
      </c>
      <c r="H15" s="10">
        <f t="shared" si="2"/>
        <v>6.25</v>
      </c>
    </row>
    <row r="16" spans="1:9" x14ac:dyDescent="0.2">
      <c r="E16" s="10">
        <v>6</v>
      </c>
      <c r="F16" s="10">
        <f t="shared" si="0"/>
        <v>2</v>
      </c>
      <c r="G16" s="10">
        <f t="shared" si="1"/>
        <v>3.1</v>
      </c>
      <c r="H16" s="10">
        <f t="shared" si="2"/>
        <v>6.6000000000000005</v>
      </c>
    </row>
    <row r="17" spans="5:8" x14ac:dyDescent="0.2">
      <c r="E17" s="10">
        <v>7</v>
      </c>
      <c r="F17" s="10">
        <f t="shared" si="0"/>
        <v>2</v>
      </c>
      <c r="G17" s="10">
        <f t="shared" si="1"/>
        <v>2.95</v>
      </c>
      <c r="H17" s="10">
        <f t="shared" si="2"/>
        <v>6.6500000000000012</v>
      </c>
    </row>
    <row r="18" spans="5:8" x14ac:dyDescent="0.2">
      <c r="E18" s="10">
        <v>8</v>
      </c>
      <c r="F18" s="10">
        <f t="shared" si="0"/>
        <v>2</v>
      </c>
      <c r="G18" s="10">
        <f t="shared" si="1"/>
        <v>2.8</v>
      </c>
      <c r="H18" s="10">
        <f t="shared" si="2"/>
        <v>6.3999999999999986</v>
      </c>
    </row>
    <row r="19" spans="5:8" x14ac:dyDescent="0.2">
      <c r="E19" s="10">
        <v>9</v>
      </c>
      <c r="F19" s="10">
        <f t="shared" si="0"/>
        <v>2</v>
      </c>
      <c r="G19" s="10">
        <f t="shared" si="1"/>
        <v>2.6500000000000004</v>
      </c>
      <c r="H19" s="10">
        <f t="shared" si="2"/>
        <v>5.8500000000000032</v>
      </c>
    </row>
    <row r="20" spans="5:8" x14ac:dyDescent="0.2">
      <c r="E20" s="10">
        <v>10</v>
      </c>
      <c r="F20" s="10">
        <f t="shared" si="0"/>
        <v>2</v>
      </c>
      <c r="G20" s="10">
        <f t="shared" si="1"/>
        <v>2.5</v>
      </c>
      <c r="H20" s="10">
        <f t="shared" si="2"/>
        <v>5</v>
      </c>
    </row>
    <row r="21" spans="5:8" x14ac:dyDescent="0.2">
      <c r="E21" s="10">
        <v>11</v>
      </c>
      <c r="F21" s="10">
        <f t="shared" si="0"/>
        <v>2</v>
      </c>
      <c r="G21" s="10">
        <f t="shared" si="1"/>
        <v>2.35</v>
      </c>
      <c r="H21" s="10">
        <f t="shared" si="2"/>
        <v>3.850000000000001</v>
      </c>
    </row>
    <row r="22" spans="5:8" x14ac:dyDescent="0.2">
      <c r="E22" s="10">
        <v>12</v>
      </c>
      <c r="F22" s="10">
        <f t="shared" si="0"/>
        <v>2</v>
      </c>
      <c r="G22" s="10">
        <f t="shared" si="1"/>
        <v>2.2000000000000002</v>
      </c>
      <c r="H22" s="10">
        <f t="shared" si="2"/>
        <v>2.4000000000000021</v>
      </c>
    </row>
    <row r="23" spans="5:8" x14ac:dyDescent="0.2">
      <c r="E23" s="10">
        <v>13</v>
      </c>
      <c r="F23" s="10">
        <f t="shared" si="0"/>
        <v>2</v>
      </c>
      <c r="G23" s="10">
        <f t="shared" si="1"/>
        <v>2.0499999999999998</v>
      </c>
      <c r="H23" s="10">
        <f t="shared" si="2"/>
        <v>0.64999999999999769</v>
      </c>
    </row>
    <row r="24" spans="5:8" x14ac:dyDescent="0.2">
      <c r="E24" s="10">
        <v>14</v>
      </c>
      <c r="F24" s="10">
        <f t="shared" si="0"/>
        <v>2</v>
      </c>
      <c r="G24" s="10">
        <f t="shared" si="1"/>
        <v>1.9</v>
      </c>
      <c r="H24" s="10">
        <f t="shared" si="2"/>
        <v>-1.4000000000000012</v>
      </c>
    </row>
    <row r="25" spans="5:8" x14ac:dyDescent="0.2">
      <c r="E25" s="10">
        <v>15</v>
      </c>
      <c r="F25" s="10">
        <f t="shared" si="0"/>
        <v>1.2</v>
      </c>
      <c r="G25" s="10">
        <f t="shared" si="1"/>
        <v>1.75</v>
      </c>
      <c r="H25" s="10">
        <f t="shared" si="2"/>
        <v>8.25</v>
      </c>
    </row>
    <row r="26" spans="5:8" x14ac:dyDescent="0.2">
      <c r="E26" s="10">
        <v>16</v>
      </c>
      <c r="F26" s="10">
        <f t="shared" si="0"/>
        <v>1.2</v>
      </c>
      <c r="G26" s="10">
        <f t="shared" si="1"/>
        <v>1.6</v>
      </c>
      <c r="H26" s="10">
        <f t="shared" si="2"/>
        <v>6.4000000000000021</v>
      </c>
    </row>
    <row r="27" spans="5:8" x14ac:dyDescent="0.2">
      <c r="E27" s="10">
        <v>17</v>
      </c>
      <c r="F27" s="10">
        <f t="shared" si="0"/>
        <v>1.2</v>
      </c>
      <c r="G27" s="10">
        <f t="shared" si="1"/>
        <v>1.4500000000000002</v>
      </c>
      <c r="H27" s="10">
        <f t="shared" si="2"/>
        <v>4.2500000000000036</v>
      </c>
    </row>
    <row r="28" spans="5:8" x14ac:dyDescent="0.2">
      <c r="E28" s="10">
        <v>18</v>
      </c>
      <c r="F28" s="10">
        <f t="shared" si="0"/>
        <v>1.2</v>
      </c>
      <c r="G28" s="10">
        <f t="shared" si="1"/>
        <v>1.3000000000000003</v>
      </c>
      <c r="H28" s="10">
        <f t="shared" si="2"/>
        <v>1.8000000000000056</v>
      </c>
    </row>
    <row r="29" spans="5:8" x14ac:dyDescent="0.2">
      <c r="E29" s="10">
        <v>19</v>
      </c>
      <c r="F29" s="10">
        <f t="shared" si="0"/>
        <v>1.2</v>
      </c>
      <c r="G29" s="10">
        <f t="shared" si="1"/>
        <v>1.1499999999999999</v>
      </c>
      <c r="H29" s="10">
        <f t="shared" si="2"/>
        <v>-0.95000000000000084</v>
      </c>
    </row>
    <row r="30" spans="5:8" x14ac:dyDescent="0.2">
      <c r="E30" s="10">
        <v>20</v>
      </c>
      <c r="F30" s="10">
        <f t="shared" si="0"/>
        <v>1.2</v>
      </c>
      <c r="G30" s="10">
        <f t="shared" si="1"/>
        <v>1</v>
      </c>
      <c r="H30" s="10">
        <f t="shared" si="2"/>
        <v>-3.9999999999999991</v>
      </c>
    </row>
    <row r="31" spans="5:8" x14ac:dyDescent="0.2">
      <c r="E31" s="10">
        <v>21</v>
      </c>
      <c r="F31" s="10">
        <f t="shared" si="0"/>
        <v>1.2</v>
      </c>
      <c r="G31" s="10">
        <f t="shared" si="1"/>
        <v>0.85000000000000009</v>
      </c>
      <c r="H31" s="10">
        <f t="shared" si="2"/>
        <v>-7.349999999999997</v>
      </c>
    </row>
    <row r="32" spans="5:8" x14ac:dyDescent="0.2">
      <c r="E32" s="10">
        <v>22</v>
      </c>
      <c r="F32" s="10">
        <f t="shared" si="0"/>
        <v>1.2</v>
      </c>
      <c r="G32" s="10">
        <f t="shared" si="1"/>
        <v>0.70000000000000018</v>
      </c>
      <c r="H32" s="10">
        <f t="shared" si="2"/>
        <v>-10.999999999999995</v>
      </c>
    </row>
    <row r="33" spans="5:8" x14ac:dyDescent="0.2">
      <c r="E33" s="10">
        <v>23</v>
      </c>
      <c r="F33" s="10">
        <f t="shared" si="0"/>
        <v>1.2</v>
      </c>
      <c r="G33" s="10">
        <f t="shared" si="1"/>
        <v>0.55000000000000027</v>
      </c>
      <c r="H33" s="10">
        <f t="shared" si="2"/>
        <v>-14.949999999999992</v>
      </c>
    </row>
    <row r="34" spans="5:8" x14ac:dyDescent="0.2">
      <c r="E34" s="10">
        <v>24</v>
      </c>
      <c r="F34" s="10">
        <f t="shared" si="0"/>
        <v>1.2</v>
      </c>
      <c r="G34" s="10">
        <f t="shared" si="1"/>
        <v>0.40000000000000036</v>
      </c>
      <c r="H34" s="10">
        <f t="shared" si="2"/>
        <v>-19.199999999999989</v>
      </c>
    </row>
    <row r="35" spans="5:8" x14ac:dyDescent="0.2">
      <c r="E35" s="10">
        <v>25</v>
      </c>
      <c r="F35" s="10">
        <f t="shared" si="0"/>
        <v>1.2</v>
      </c>
      <c r="G35" s="10">
        <f t="shared" si="1"/>
        <v>0.25</v>
      </c>
      <c r="H35" s="10">
        <f t="shared" si="2"/>
        <v>-23.75</v>
      </c>
    </row>
    <row r="36" spans="5:8" x14ac:dyDescent="0.2">
      <c r="E36" s="10">
        <v>26</v>
      </c>
      <c r="F36" s="10">
        <f t="shared" si="0"/>
        <v>1.2</v>
      </c>
      <c r="G36" s="10">
        <f t="shared" si="1"/>
        <v>0.10000000000000009</v>
      </c>
      <c r="H36" s="10">
        <f t="shared" si="2"/>
        <v>-28.599999999999998</v>
      </c>
    </row>
    <row r="37" spans="5:8" x14ac:dyDescent="0.2">
      <c r="E37" s="10">
        <v>27</v>
      </c>
      <c r="F37" s="10">
        <f t="shared" si="0"/>
        <v>1.2</v>
      </c>
      <c r="G37" s="10">
        <f t="shared" si="1"/>
        <v>-4.9999999999999822E-2</v>
      </c>
      <c r="H37" s="10">
        <f t="shared" si="2"/>
        <v>-33.749999999999993</v>
      </c>
    </row>
    <row r="38" spans="5:8" x14ac:dyDescent="0.2">
      <c r="E38" s="10">
        <v>28</v>
      </c>
      <c r="F38" s="10">
        <f t="shared" si="0"/>
        <v>1.2</v>
      </c>
      <c r="G38" s="10">
        <f t="shared" si="1"/>
        <v>-0.20000000000000018</v>
      </c>
      <c r="H38" s="10">
        <f t="shared" si="2"/>
        <v>-39.200000000000003</v>
      </c>
    </row>
    <row r="39" spans="5:8" x14ac:dyDescent="0.2">
      <c r="E39" s="10">
        <v>29</v>
      </c>
      <c r="F39" s="10">
        <f t="shared" si="0"/>
        <v>1.2</v>
      </c>
      <c r="G39" s="10">
        <f t="shared" si="1"/>
        <v>-0.34999999999999964</v>
      </c>
      <c r="H39" s="10">
        <f t="shared" si="2"/>
        <v>-44.949999999999989</v>
      </c>
    </row>
    <row r="40" spans="5:8" x14ac:dyDescent="0.2">
      <c r="E40" s="10">
        <v>30</v>
      </c>
      <c r="F40" s="10">
        <f t="shared" si="0"/>
        <v>1.2</v>
      </c>
      <c r="G40" s="10">
        <f t="shared" si="1"/>
        <v>-0.5</v>
      </c>
      <c r="H40" s="10">
        <f t="shared" si="2"/>
        <v>-51</v>
      </c>
    </row>
  </sheetData>
  <mergeCells count="1">
    <mergeCell ref="A2:I3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4"/>
  <sheetViews>
    <sheetView zoomScale="63" zoomScaleNormal="63" workbookViewId="0">
      <selection activeCell="D25" sqref="D25"/>
    </sheetView>
  </sheetViews>
  <sheetFormatPr baseColWidth="10" defaultColWidth="9.25" defaultRowHeight="19" x14ac:dyDescent="0.25"/>
  <cols>
    <col min="1" max="1" width="9.25" style="4"/>
    <col min="2" max="2" width="34.25" style="4" customWidth="1"/>
    <col min="3" max="3" width="17.5" style="4" customWidth="1"/>
    <col min="4" max="4" width="36.75" style="4" customWidth="1"/>
    <col min="5" max="5" width="4" style="4" customWidth="1"/>
    <col min="6" max="16384" width="9.25" style="4"/>
  </cols>
  <sheetData>
    <row r="1" spans="1:37" x14ac:dyDescent="0.25">
      <c r="A1" s="14" t="s">
        <v>4</v>
      </c>
      <c r="B1" s="14"/>
      <c r="C1" s="14"/>
      <c r="D1" s="14"/>
      <c r="E1" s="14"/>
      <c r="F1" s="14"/>
    </row>
    <row r="2" spans="1:37" x14ac:dyDescent="0.25">
      <c r="G2" s="4" t="s">
        <v>25</v>
      </c>
    </row>
    <row r="3" spans="1:37" x14ac:dyDescent="0.25">
      <c r="B3" s="11" t="s">
        <v>5</v>
      </c>
      <c r="C3" s="5">
        <v>8</v>
      </c>
      <c r="F3" s="4">
        <f>C13</f>
        <v>2.6000000000000014</v>
      </c>
      <c r="G3" s="4">
        <v>0</v>
      </c>
      <c r="H3" s="4">
        <v>1</v>
      </c>
      <c r="I3" s="4">
        <v>2</v>
      </c>
      <c r="J3" s="4">
        <v>3</v>
      </c>
      <c r="K3" s="4">
        <v>4</v>
      </c>
      <c r="L3" s="4">
        <v>5</v>
      </c>
      <c r="M3" s="4">
        <v>6</v>
      </c>
      <c r="N3" s="4">
        <v>7</v>
      </c>
      <c r="O3" s="4">
        <v>8</v>
      </c>
      <c r="P3" s="4">
        <v>9</v>
      </c>
      <c r="Q3" s="4">
        <v>10</v>
      </c>
      <c r="R3" s="4">
        <v>11</v>
      </c>
      <c r="S3" s="4">
        <v>12</v>
      </c>
      <c r="T3" s="11">
        <v>13</v>
      </c>
      <c r="U3" s="4">
        <v>14</v>
      </c>
      <c r="V3" s="4">
        <v>15</v>
      </c>
      <c r="W3" s="4">
        <v>16</v>
      </c>
      <c r="X3" s="4">
        <v>17</v>
      </c>
      <c r="Y3" s="4">
        <v>18</v>
      </c>
      <c r="Z3" s="4">
        <v>19</v>
      </c>
      <c r="AA3" s="4">
        <v>20</v>
      </c>
      <c r="AB3" s="4">
        <v>21</v>
      </c>
      <c r="AC3" s="4">
        <v>22</v>
      </c>
      <c r="AD3" s="4">
        <v>23</v>
      </c>
      <c r="AE3" s="4">
        <v>24</v>
      </c>
      <c r="AF3" s="4">
        <v>25</v>
      </c>
      <c r="AG3" s="4">
        <v>26</v>
      </c>
      <c r="AH3" s="4">
        <v>27</v>
      </c>
      <c r="AI3" s="4">
        <v>28</v>
      </c>
      <c r="AJ3" s="4">
        <v>29</v>
      </c>
      <c r="AK3" s="4">
        <v>30</v>
      </c>
    </row>
    <row r="4" spans="1:37" x14ac:dyDescent="0.25">
      <c r="B4" s="11" t="s">
        <v>6</v>
      </c>
      <c r="C4" s="5">
        <v>6</v>
      </c>
      <c r="E4" s="4" t="s">
        <v>24</v>
      </c>
      <c r="F4" s="4">
        <v>0</v>
      </c>
      <c r="G4" s="4">
        <f t="dataTable" ref="G4:AK34" dt2D="1" dtr="1" r1="C4" r2="C3"/>
        <v>0</v>
      </c>
      <c r="H4" s="4" t="str">
        <v>XX</v>
      </c>
      <c r="I4" s="4" t="str">
        <v>XX</v>
      </c>
      <c r="J4" s="4" t="str">
        <v>XX</v>
      </c>
      <c r="K4" s="4" t="str">
        <v>XX</v>
      </c>
      <c r="L4" s="4" t="str">
        <v>XX</v>
      </c>
      <c r="M4" s="4" t="str">
        <v>XX</v>
      </c>
      <c r="N4" s="4" t="str">
        <v>XX</v>
      </c>
      <c r="O4" s="4" t="str">
        <v>XX</v>
      </c>
      <c r="P4" s="4" t="str">
        <v>XX</v>
      </c>
      <c r="Q4" s="4" t="str">
        <v>XX</v>
      </c>
      <c r="R4" s="4" t="str">
        <v>XX</v>
      </c>
      <c r="S4" s="4" t="str">
        <v>XX</v>
      </c>
      <c r="T4" s="4" t="str">
        <v>XX</v>
      </c>
      <c r="U4" s="4" t="str">
        <v>XX</v>
      </c>
      <c r="V4" s="4" t="str">
        <v>XX</v>
      </c>
      <c r="W4" s="4" t="str">
        <v>XX</v>
      </c>
      <c r="X4" s="4" t="str">
        <v>XX</v>
      </c>
      <c r="Y4" s="4" t="str">
        <v>XX</v>
      </c>
      <c r="Z4" s="4" t="str">
        <v>XX</v>
      </c>
      <c r="AA4" s="4" t="str">
        <v>XX</v>
      </c>
      <c r="AB4" s="4" t="str">
        <v>XX</v>
      </c>
      <c r="AC4" s="4" t="str">
        <v>XX</v>
      </c>
      <c r="AD4" s="4" t="str">
        <v>XX</v>
      </c>
      <c r="AE4" s="4" t="str">
        <v>XX</v>
      </c>
      <c r="AF4" s="4" t="str">
        <v>XX</v>
      </c>
      <c r="AG4" s="4" t="str">
        <v>XX</v>
      </c>
      <c r="AH4" s="4" t="str">
        <v>XX</v>
      </c>
      <c r="AI4" s="4" t="str">
        <v>XX</v>
      </c>
      <c r="AJ4" s="4" t="str">
        <v>XX</v>
      </c>
      <c r="AK4" s="4" t="str">
        <v>XX</v>
      </c>
    </row>
    <row r="5" spans="1:37" x14ac:dyDescent="0.25">
      <c r="F5" s="4">
        <v>1</v>
      </c>
      <c r="G5" s="4">
        <v>-2</v>
      </c>
      <c r="H5" s="4">
        <v>1.85</v>
      </c>
      <c r="I5" s="4" t="str">
        <v>XX</v>
      </c>
      <c r="J5" s="4" t="str">
        <v>XX</v>
      </c>
      <c r="K5" s="4" t="str">
        <v>XX</v>
      </c>
      <c r="L5" s="4" t="str">
        <v>XX</v>
      </c>
      <c r="M5" s="4" t="str">
        <v>XX</v>
      </c>
      <c r="N5" s="4" t="str">
        <v>XX</v>
      </c>
      <c r="O5" s="4" t="str">
        <v>XX</v>
      </c>
      <c r="P5" s="4" t="str">
        <v>XX</v>
      </c>
      <c r="Q5" s="4" t="str">
        <v>XX</v>
      </c>
      <c r="R5" s="4" t="str">
        <v>XX</v>
      </c>
      <c r="S5" s="4" t="str">
        <v>XX</v>
      </c>
      <c r="T5" s="4" t="str">
        <v>XX</v>
      </c>
      <c r="U5" s="4" t="str">
        <v>XX</v>
      </c>
      <c r="V5" s="4" t="str">
        <v>XX</v>
      </c>
      <c r="W5" s="4" t="str">
        <v>XX</v>
      </c>
      <c r="X5" s="4" t="str">
        <v>XX</v>
      </c>
      <c r="Y5" s="4" t="str">
        <v>XX</v>
      </c>
      <c r="Z5" s="4" t="str">
        <v>XX</v>
      </c>
      <c r="AA5" s="4" t="str">
        <v>XX</v>
      </c>
      <c r="AB5" s="4" t="str">
        <v>XX</v>
      </c>
      <c r="AC5" s="4" t="str">
        <v>XX</v>
      </c>
      <c r="AD5" s="4" t="str">
        <v>XX</v>
      </c>
      <c r="AE5" s="4" t="str">
        <v>XX</v>
      </c>
      <c r="AF5" s="4" t="str">
        <v>XX</v>
      </c>
      <c r="AG5" s="4" t="str">
        <v>XX</v>
      </c>
      <c r="AH5" s="4" t="str">
        <v>XX</v>
      </c>
      <c r="AI5" s="4" t="str">
        <v>XX</v>
      </c>
      <c r="AJ5" s="4" t="str">
        <v>XX</v>
      </c>
      <c r="AK5" s="4" t="str">
        <v>XX</v>
      </c>
    </row>
    <row r="6" spans="1:37" x14ac:dyDescent="0.25">
      <c r="B6" s="4" t="s">
        <v>10</v>
      </c>
      <c r="C6" s="6">
        <f>2*IF(C3&lt;15,100%,60%)</f>
        <v>2</v>
      </c>
      <c r="D6" s="9" t="s">
        <v>7</v>
      </c>
      <c r="E6" s="9"/>
      <c r="F6" s="4">
        <v>2</v>
      </c>
      <c r="G6" s="4">
        <v>-4</v>
      </c>
      <c r="H6" s="4">
        <v>-0.14999999999999991</v>
      </c>
      <c r="I6" s="4">
        <v>3.4000000000000004</v>
      </c>
      <c r="J6" s="4" t="str">
        <v>XX</v>
      </c>
      <c r="K6" s="4" t="str">
        <v>XX</v>
      </c>
      <c r="L6" s="4" t="str">
        <v>XX</v>
      </c>
      <c r="M6" s="4" t="str">
        <v>XX</v>
      </c>
      <c r="N6" s="4" t="str">
        <v>XX</v>
      </c>
      <c r="O6" s="4" t="str">
        <v>XX</v>
      </c>
      <c r="P6" s="4" t="str">
        <v>XX</v>
      </c>
      <c r="Q6" s="4" t="str">
        <v>XX</v>
      </c>
      <c r="R6" s="4" t="str">
        <v>XX</v>
      </c>
      <c r="S6" s="4" t="str">
        <v>XX</v>
      </c>
      <c r="T6" s="4" t="str">
        <v>XX</v>
      </c>
      <c r="U6" s="4" t="str">
        <v>XX</v>
      </c>
      <c r="V6" s="4" t="str">
        <v>XX</v>
      </c>
      <c r="W6" s="4" t="str">
        <v>XX</v>
      </c>
      <c r="X6" s="4" t="str">
        <v>XX</v>
      </c>
      <c r="Y6" s="4" t="str">
        <v>XX</v>
      </c>
      <c r="Z6" s="4" t="str">
        <v>XX</v>
      </c>
      <c r="AA6" s="4" t="str">
        <v>XX</v>
      </c>
      <c r="AB6" s="4" t="str">
        <v>XX</v>
      </c>
      <c r="AC6" s="4" t="str">
        <v>XX</v>
      </c>
      <c r="AD6" s="4" t="str">
        <v>XX</v>
      </c>
      <c r="AE6" s="4" t="str">
        <v>XX</v>
      </c>
      <c r="AF6" s="4" t="str">
        <v>XX</v>
      </c>
      <c r="AG6" s="4" t="str">
        <v>XX</v>
      </c>
      <c r="AH6" s="4" t="str">
        <v>XX</v>
      </c>
      <c r="AI6" s="4" t="str">
        <v>XX</v>
      </c>
      <c r="AJ6" s="4" t="str">
        <v>XX</v>
      </c>
      <c r="AK6" s="4" t="str">
        <v>XX</v>
      </c>
    </row>
    <row r="7" spans="1:37" x14ac:dyDescent="0.25">
      <c r="B7" s="4" t="s">
        <v>11</v>
      </c>
      <c r="C7" s="6">
        <f>4-C4*0.15</f>
        <v>3.1</v>
      </c>
      <c r="D7" s="9" t="s">
        <v>8</v>
      </c>
      <c r="E7" s="9"/>
      <c r="F7" s="4">
        <v>3</v>
      </c>
      <c r="G7" s="4">
        <v>-6</v>
      </c>
      <c r="H7" s="4">
        <v>-2.15</v>
      </c>
      <c r="I7" s="4">
        <v>1.4000000000000004</v>
      </c>
      <c r="J7" s="4">
        <v>4.6499999999999986</v>
      </c>
      <c r="K7" s="4" t="str">
        <v>XX</v>
      </c>
      <c r="L7" s="4" t="str">
        <v>XX</v>
      </c>
      <c r="M7" s="4" t="str">
        <v>XX</v>
      </c>
      <c r="N7" s="4" t="str">
        <v>XX</v>
      </c>
      <c r="O7" s="4" t="str">
        <v>XX</v>
      </c>
      <c r="P7" s="4" t="str">
        <v>XX</v>
      </c>
      <c r="Q7" s="4" t="str">
        <v>XX</v>
      </c>
      <c r="R7" s="4" t="str">
        <v>XX</v>
      </c>
      <c r="S7" s="4" t="str">
        <v>XX</v>
      </c>
      <c r="T7" s="4" t="str">
        <v>XX</v>
      </c>
      <c r="U7" s="4" t="str">
        <v>XX</v>
      </c>
      <c r="V7" s="4" t="str">
        <v>XX</v>
      </c>
      <c r="W7" s="4" t="str">
        <v>XX</v>
      </c>
      <c r="X7" s="4" t="str">
        <v>XX</v>
      </c>
      <c r="Y7" s="4" t="str">
        <v>XX</v>
      </c>
      <c r="Z7" s="4" t="str">
        <v>XX</v>
      </c>
      <c r="AA7" s="4" t="str">
        <v>XX</v>
      </c>
      <c r="AB7" s="4" t="str">
        <v>XX</v>
      </c>
      <c r="AC7" s="4" t="str">
        <v>XX</v>
      </c>
      <c r="AD7" s="4" t="str">
        <v>XX</v>
      </c>
      <c r="AE7" s="4" t="str">
        <v>XX</v>
      </c>
      <c r="AF7" s="4" t="str">
        <v>XX</v>
      </c>
      <c r="AG7" s="4" t="str">
        <v>XX</v>
      </c>
      <c r="AH7" s="4" t="str">
        <v>XX</v>
      </c>
      <c r="AI7" s="4" t="str">
        <v>XX</v>
      </c>
      <c r="AJ7" s="4" t="str">
        <v>XX</v>
      </c>
      <c r="AK7" s="4" t="str">
        <v>XX</v>
      </c>
    </row>
    <row r="8" spans="1:37" x14ac:dyDescent="0.25">
      <c r="F8" s="4">
        <v>4</v>
      </c>
      <c r="G8" s="4">
        <v>-8</v>
      </c>
      <c r="H8" s="4">
        <v>-4.1500000000000004</v>
      </c>
      <c r="I8" s="4">
        <v>-0.59999999999999964</v>
      </c>
      <c r="J8" s="4">
        <v>2.6499999999999986</v>
      </c>
      <c r="K8" s="4">
        <v>5.6</v>
      </c>
      <c r="L8" s="4" t="str">
        <v>XX</v>
      </c>
      <c r="M8" s="4" t="str">
        <v>XX</v>
      </c>
      <c r="N8" s="4" t="str">
        <v>XX</v>
      </c>
      <c r="O8" s="4" t="str">
        <v>XX</v>
      </c>
      <c r="P8" s="4" t="str">
        <v>XX</v>
      </c>
      <c r="Q8" s="4" t="str">
        <v>XX</v>
      </c>
      <c r="R8" s="4" t="str">
        <v>XX</v>
      </c>
      <c r="S8" s="4" t="str">
        <v>XX</v>
      </c>
      <c r="T8" s="4" t="str">
        <v>XX</v>
      </c>
      <c r="U8" s="4" t="str">
        <v>XX</v>
      </c>
      <c r="V8" s="4" t="str">
        <v>XX</v>
      </c>
      <c r="W8" s="4" t="str">
        <v>XX</v>
      </c>
      <c r="X8" s="4" t="str">
        <v>XX</v>
      </c>
      <c r="Y8" s="4" t="str">
        <v>XX</v>
      </c>
      <c r="Z8" s="4" t="str">
        <v>XX</v>
      </c>
      <c r="AA8" s="4" t="str">
        <v>XX</v>
      </c>
      <c r="AB8" s="4" t="str">
        <v>XX</v>
      </c>
      <c r="AC8" s="4" t="str">
        <v>XX</v>
      </c>
      <c r="AD8" s="4" t="str">
        <v>XX</v>
      </c>
      <c r="AE8" s="4" t="str">
        <v>XX</v>
      </c>
      <c r="AF8" s="4" t="str">
        <v>XX</v>
      </c>
      <c r="AG8" s="4" t="str">
        <v>XX</v>
      </c>
      <c r="AH8" s="4" t="str">
        <v>XX</v>
      </c>
      <c r="AI8" s="4" t="str">
        <v>XX</v>
      </c>
      <c r="AJ8" s="4" t="str">
        <v>XX</v>
      </c>
      <c r="AK8" s="4" t="str">
        <v>XX</v>
      </c>
    </row>
    <row r="9" spans="1:37" x14ac:dyDescent="0.25">
      <c r="B9" s="4" t="s">
        <v>13</v>
      </c>
      <c r="C9" s="8">
        <f>-C3*C6</f>
        <v>-16</v>
      </c>
      <c r="D9" s="9" t="s">
        <v>9</v>
      </c>
      <c r="E9" s="9"/>
      <c r="F9" s="4">
        <v>5</v>
      </c>
      <c r="G9" s="4">
        <v>-10</v>
      </c>
      <c r="H9" s="4">
        <v>-6.15</v>
      </c>
      <c r="I9" s="4">
        <v>-2.5999999999999996</v>
      </c>
      <c r="J9" s="4">
        <v>0.64999999999999858</v>
      </c>
      <c r="K9" s="4">
        <v>3.5999999999999996</v>
      </c>
      <c r="L9" s="4">
        <v>6.25</v>
      </c>
      <c r="M9" s="4" t="str">
        <v>XX</v>
      </c>
      <c r="N9" s="4" t="str">
        <v>XX</v>
      </c>
      <c r="O9" s="4" t="str">
        <v>XX</v>
      </c>
      <c r="P9" s="4" t="str">
        <v>XX</v>
      </c>
      <c r="Q9" s="4" t="str">
        <v>XX</v>
      </c>
      <c r="R9" s="4" t="str">
        <v>XX</v>
      </c>
      <c r="S9" s="4" t="str">
        <v>XX</v>
      </c>
      <c r="T9" s="4" t="str">
        <v>XX</v>
      </c>
      <c r="U9" s="4" t="str">
        <v>XX</v>
      </c>
      <c r="V9" s="4" t="str">
        <v>XX</v>
      </c>
      <c r="W9" s="4" t="str">
        <v>XX</v>
      </c>
      <c r="X9" s="4" t="str">
        <v>XX</v>
      </c>
      <c r="Y9" s="4" t="str">
        <v>XX</v>
      </c>
      <c r="Z9" s="4" t="str">
        <v>XX</v>
      </c>
      <c r="AA9" s="4" t="str">
        <v>XX</v>
      </c>
      <c r="AB9" s="4" t="str">
        <v>XX</v>
      </c>
      <c r="AC9" s="4" t="str">
        <v>XX</v>
      </c>
      <c r="AD9" s="4" t="str">
        <v>XX</v>
      </c>
      <c r="AE9" s="4" t="str">
        <v>XX</v>
      </c>
      <c r="AF9" s="4" t="str">
        <v>XX</v>
      </c>
      <c r="AG9" s="4" t="str">
        <v>XX</v>
      </c>
      <c r="AH9" s="4" t="str">
        <v>XX</v>
      </c>
      <c r="AI9" s="4" t="str">
        <v>XX</v>
      </c>
      <c r="AJ9" s="4" t="str">
        <v>XX</v>
      </c>
      <c r="AK9" s="4" t="str">
        <v>XX</v>
      </c>
    </row>
    <row r="10" spans="1:37" x14ac:dyDescent="0.25">
      <c r="B10" s="4" t="s">
        <v>14</v>
      </c>
      <c r="C10" s="8">
        <f>C4*C7</f>
        <v>18.600000000000001</v>
      </c>
      <c r="D10" s="9" t="s">
        <v>12</v>
      </c>
      <c r="E10" s="9"/>
      <c r="F10" s="4">
        <v>6</v>
      </c>
      <c r="G10" s="4">
        <v>-12</v>
      </c>
      <c r="H10" s="4">
        <v>-8.15</v>
      </c>
      <c r="I10" s="4">
        <v>-4.5999999999999996</v>
      </c>
      <c r="J10" s="4">
        <v>-1.3500000000000014</v>
      </c>
      <c r="K10" s="4">
        <v>1.5999999999999996</v>
      </c>
      <c r="L10" s="4">
        <v>4.25</v>
      </c>
      <c r="M10" s="4">
        <v>6.6000000000000014</v>
      </c>
      <c r="N10" s="4" t="str">
        <v>XX</v>
      </c>
      <c r="O10" s="4" t="str">
        <v>XX</v>
      </c>
      <c r="P10" s="4" t="str">
        <v>XX</v>
      </c>
      <c r="Q10" s="4" t="str">
        <v>XX</v>
      </c>
      <c r="R10" s="4" t="str">
        <v>XX</v>
      </c>
      <c r="S10" s="4" t="str">
        <v>XX</v>
      </c>
      <c r="T10" s="4" t="str">
        <v>XX</v>
      </c>
      <c r="U10" s="4" t="str">
        <v>XX</v>
      </c>
      <c r="V10" s="4" t="str">
        <v>XX</v>
      </c>
      <c r="W10" s="4" t="str">
        <v>XX</v>
      </c>
      <c r="X10" s="4" t="str">
        <v>XX</v>
      </c>
      <c r="Y10" s="4" t="str">
        <v>XX</v>
      </c>
      <c r="Z10" s="4" t="str">
        <v>XX</v>
      </c>
      <c r="AA10" s="4" t="str">
        <v>XX</v>
      </c>
      <c r="AB10" s="4" t="str">
        <v>XX</v>
      </c>
      <c r="AC10" s="4" t="str">
        <v>XX</v>
      </c>
      <c r="AD10" s="4" t="str">
        <v>XX</v>
      </c>
      <c r="AE10" s="4" t="str">
        <v>XX</v>
      </c>
      <c r="AF10" s="4" t="str">
        <v>XX</v>
      </c>
      <c r="AG10" s="4" t="str">
        <v>XX</v>
      </c>
      <c r="AH10" s="4" t="str">
        <v>XX</v>
      </c>
      <c r="AI10" s="4" t="str">
        <v>XX</v>
      </c>
      <c r="AJ10" s="4" t="str">
        <v>XX</v>
      </c>
      <c r="AK10" s="4" t="str">
        <v>XX</v>
      </c>
    </row>
    <row r="11" spans="1:37" x14ac:dyDescent="0.25">
      <c r="B11" s="4" t="s">
        <v>3</v>
      </c>
      <c r="C11" s="7">
        <f>SUM(C9:C10)</f>
        <v>2.6000000000000014</v>
      </c>
      <c r="D11" s="9" t="s">
        <v>15</v>
      </c>
      <c r="E11" s="9"/>
      <c r="F11" s="4">
        <v>7</v>
      </c>
      <c r="G11" s="4">
        <v>-14</v>
      </c>
      <c r="H11" s="4">
        <v>-10.15</v>
      </c>
      <c r="I11" s="4">
        <v>-6.6</v>
      </c>
      <c r="J11" s="4">
        <v>-3.3500000000000014</v>
      </c>
      <c r="K11" s="4">
        <v>-0.40000000000000036</v>
      </c>
      <c r="L11" s="4">
        <v>2.25</v>
      </c>
      <c r="M11" s="4">
        <v>4.6000000000000014</v>
      </c>
      <c r="N11" s="4">
        <v>6.6500000000000021</v>
      </c>
      <c r="O11" s="4" t="str">
        <v>XX</v>
      </c>
      <c r="P11" s="4" t="str">
        <v>XX</v>
      </c>
      <c r="Q11" s="4" t="str">
        <v>XX</v>
      </c>
      <c r="R11" s="4" t="str">
        <v>XX</v>
      </c>
      <c r="S11" s="4" t="str">
        <v>XX</v>
      </c>
      <c r="T11" s="4" t="str">
        <v>XX</v>
      </c>
      <c r="U11" s="4" t="str">
        <v>XX</v>
      </c>
      <c r="V11" s="4" t="str">
        <v>XX</v>
      </c>
      <c r="W11" s="4" t="str">
        <v>XX</v>
      </c>
      <c r="X11" s="4" t="str">
        <v>XX</v>
      </c>
      <c r="Y11" s="4" t="str">
        <v>XX</v>
      </c>
      <c r="Z11" s="4" t="str">
        <v>XX</v>
      </c>
      <c r="AA11" s="4" t="str">
        <v>XX</v>
      </c>
      <c r="AB11" s="4" t="str">
        <v>XX</v>
      </c>
      <c r="AC11" s="4" t="str">
        <v>XX</v>
      </c>
      <c r="AD11" s="4" t="str">
        <v>XX</v>
      </c>
      <c r="AE11" s="4" t="str">
        <v>XX</v>
      </c>
      <c r="AF11" s="4" t="str">
        <v>XX</v>
      </c>
      <c r="AG11" s="4" t="str">
        <v>XX</v>
      </c>
      <c r="AH11" s="4" t="str">
        <v>XX</v>
      </c>
      <c r="AI11" s="4" t="str">
        <v>XX</v>
      </c>
      <c r="AJ11" s="4" t="str">
        <v>XX</v>
      </c>
      <c r="AK11" s="4" t="str">
        <v>XX</v>
      </c>
    </row>
    <row r="12" spans="1:37" x14ac:dyDescent="0.25">
      <c r="F12" s="4">
        <v>8</v>
      </c>
      <c r="G12" s="4">
        <v>-16</v>
      </c>
      <c r="H12" s="4">
        <v>-12.15</v>
      </c>
      <c r="I12" s="4">
        <v>-8.6</v>
      </c>
      <c r="J12" s="4">
        <v>-5.3500000000000014</v>
      </c>
      <c r="K12" s="4">
        <v>-2.4000000000000004</v>
      </c>
      <c r="L12" s="4">
        <v>0.25</v>
      </c>
      <c r="M12" s="4">
        <v>2.6000000000000014</v>
      </c>
      <c r="N12" s="4">
        <v>4.6500000000000021</v>
      </c>
      <c r="O12" s="4">
        <v>6.3999999999999986</v>
      </c>
      <c r="P12" s="4" t="str">
        <v>XX</v>
      </c>
      <c r="Q12" s="4" t="str">
        <v>XX</v>
      </c>
      <c r="R12" s="4" t="str">
        <v>XX</v>
      </c>
      <c r="S12" s="4" t="str">
        <v>XX</v>
      </c>
      <c r="T12" s="4" t="str">
        <v>XX</v>
      </c>
      <c r="U12" s="4" t="str">
        <v>XX</v>
      </c>
      <c r="V12" s="4" t="str">
        <v>XX</v>
      </c>
      <c r="W12" s="4" t="str">
        <v>XX</v>
      </c>
      <c r="X12" s="4" t="str">
        <v>XX</v>
      </c>
      <c r="Y12" s="4" t="str">
        <v>XX</v>
      </c>
      <c r="Z12" s="4" t="str">
        <v>XX</v>
      </c>
      <c r="AA12" s="4" t="str">
        <v>XX</v>
      </c>
      <c r="AB12" s="4" t="str">
        <v>XX</v>
      </c>
      <c r="AC12" s="4" t="str">
        <v>XX</v>
      </c>
      <c r="AD12" s="4" t="str">
        <v>XX</v>
      </c>
      <c r="AE12" s="4" t="str">
        <v>XX</v>
      </c>
      <c r="AF12" s="4" t="str">
        <v>XX</v>
      </c>
      <c r="AG12" s="4" t="str">
        <v>XX</v>
      </c>
      <c r="AH12" s="4" t="str">
        <v>XX</v>
      </c>
      <c r="AI12" s="4" t="str">
        <v>XX</v>
      </c>
      <c r="AJ12" s="4" t="str">
        <v>XX</v>
      </c>
      <c r="AK12" s="4" t="str">
        <v>XX</v>
      </c>
    </row>
    <row r="13" spans="1:37" x14ac:dyDescent="0.25">
      <c r="B13" s="4" t="s">
        <v>23</v>
      </c>
      <c r="C13" s="13">
        <f>IF(C4&lt;=C3,C11,"XX")</f>
        <v>2.6000000000000014</v>
      </c>
      <c r="F13" s="4">
        <v>9</v>
      </c>
      <c r="G13" s="4">
        <v>-18</v>
      </c>
      <c r="H13" s="4">
        <v>-14.15</v>
      </c>
      <c r="I13" s="4">
        <v>-10.6</v>
      </c>
      <c r="J13" s="4">
        <v>-7.3500000000000014</v>
      </c>
      <c r="K13" s="4">
        <v>-4.4000000000000004</v>
      </c>
      <c r="L13" s="4">
        <v>-1.75</v>
      </c>
      <c r="M13" s="4">
        <v>0.60000000000000142</v>
      </c>
      <c r="N13" s="4">
        <v>2.6500000000000021</v>
      </c>
      <c r="O13" s="4">
        <v>4.3999999999999986</v>
      </c>
      <c r="P13" s="4">
        <v>5.8500000000000014</v>
      </c>
      <c r="Q13" s="4" t="str">
        <v>XX</v>
      </c>
      <c r="R13" s="4" t="str">
        <v>XX</v>
      </c>
      <c r="S13" s="4" t="str">
        <v>XX</v>
      </c>
      <c r="T13" s="4" t="str">
        <v>XX</v>
      </c>
      <c r="U13" s="4" t="str">
        <v>XX</v>
      </c>
      <c r="V13" s="4" t="str">
        <v>XX</v>
      </c>
      <c r="W13" s="4" t="str">
        <v>XX</v>
      </c>
      <c r="X13" s="4" t="str">
        <v>XX</v>
      </c>
      <c r="Y13" s="4" t="str">
        <v>XX</v>
      </c>
      <c r="Z13" s="4" t="str">
        <v>XX</v>
      </c>
      <c r="AA13" s="4" t="str">
        <v>XX</v>
      </c>
      <c r="AB13" s="4" t="str">
        <v>XX</v>
      </c>
      <c r="AC13" s="4" t="str">
        <v>XX</v>
      </c>
      <c r="AD13" s="4" t="str">
        <v>XX</v>
      </c>
      <c r="AE13" s="4" t="str">
        <v>XX</v>
      </c>
      <c r="AF13" s="4" t="str">
        <v>XX</v>
      </c>
      <c r="AG13" s="4" t="str">
        <v>XX</v>
      </c>
      <c r="AH13" s="4" t="str">
        <v>XX</v>
      </c>
      <c r="AI13" s="4" t="str">
        <v>XX</v>
      </c>
      <c r="AJ13" s="4" t="str">
        <v>XX</v>
      </c>
      <c r="AK13" s="4" t="str">
        <v>XX</v>
      </c>
    </row>
    <row r="14" spans="1:37" x14ac:dyDescent="0.25">
      <c r="F14" s="4">
        <v>10</v>
      </c>
      <c r="G14" s="4">
        <v>-20</v>
      </c>
      <c r="H14" s="4">
        <v>-16.149999999999999</v>
      </c>
      <c r="I14" s="4">
        <v>-12.6</v>
      </c>
      <c r="J14" s="4">
        <v>-9.3500000000000014</v>
      </c>
      <c r="K14" s="4">
        <v>-6.4</v>
      </c>
      <c r="L14" s="4">
        <v>-3.75</v>
      </c>
      <c r="M14" s="4">
        <v>-1.3999999999999986</v>
      </c>
      <c r="N14" s="4">
        <v>0.65000000000000213</v>
      </c>
      <c r="O14" s="4">
        <v>2.3999999999999986</v>
      </c>
      <c r="P14" s="4">
        <v>3.8500000000000014</v>
      </c>
      <c r="Q14" s="4">
        <v>5</v>
      </c>
      <c r="R14" s="4" t="str">
        <v>XX</v>
      </c>
      <c r="S14" s="4" t="str">
        <v>XX</v>
      </c>
      <c r="T14" s="4" t="str">
        <v>XX</v>
      </c>
      <c r="U14" s="4" t="str">
        <v>XX</v>
      </c>
      <c r="V14" s="4" t="str">
        <v>XX</v>
      </c>
      <c r="W14" s="4" t="str">
        <v>XX</v>
      </c>
      <c r="X14" s="4" t="str">
        <v>XX</v>
      </c>
      <c r="Y14" s="4" t="str">
        <v>XX</v>
      </c>
      <c r="Z14" s="4" t="str">
        <v>XX</v>
      </c>
      <c r="AA14" s="4" t="str">
        <v>XX</v>
      </c>
      <c r="AB14" s="4" t="str">
        <v>XX</v>
      </c>
      <c r="AC14" s="4" t="str">
        <v>XX</v>
      </c>
      <c r="AD14" s="4" t="str">
        <v>XX</v>
      </c>
      <c r="AE14" s="4" t="str">
        <v>XX</v>
      </c>
      <c r="AF14" s="4" t="str">
        <v>XX</v>
      </c>
      <c r="AG14" s="4" t="str">
        <v>XX</v>
      </c>
      <c r="AH14" s="4" t="str">
        <v>XX</v>
      </c>
      <c r="AI14" s="4" t="str">
        <v>XX</v>
      </c>
      <c r="AJ14" s="4" t="str">
        <v>XX</v>
      </c>
      <c r="AK14" s="4" t="str">
        <v>XX</v>
      </c>
    </row>
    <row r="15" spans="1:37" x14ac:dyDescent="0.25">
      <c r="B15" s="4" t="s">
        <v>26</v>
      </c>
      <c r="F15" s="4">
        <v>11</v>
      </c>
      <c r="G15" s="4">
        <v>-22</v>
      </c>
      <c r="H15" s="4">
        <v>-18.149999999999999</v>
      </c>
      <c r="I15" s="4">
        <v>-14.6</v>
      </c>
      <c r="J15" s="4">
        <v>-11.350000000000001</v>
      </c>
      <c r="K15" s="4">
        <v>-8.4</v>
      </c>
      <c r="L15" s="4">
        <v>-5.75</v>
      </c>
      <c r="M15" s="4">
        <v>-3.3999999999999986</v>
      </c>
      <c r="N15" s="4">
        <v>-1.3499999999999979</v>
      </c>
      <c r="O15" s="4">
        <v>0.39999999999999858</v>
      </c>
      <c r="P15" s="4">
        <v>1.8500000000000014</v>
      </c>
      <c r="Q15" s="4">
        <v>3</v>
      </c>
      <c r="R15" s="4">
        <v>3.8500000000000014</v>
      </c>
      <c r="S15" s="4" t="str">
        <v>XX</v>
      </c>
      <c r="T15" s="4" t="str">
        <v>XX</v>
      </c>
      <c r="U15" s="4" t="str">
        <v>XX</v>
      </c>
      <c r="V15" s="4" t="str">
        <v>XX</v>
      </c>
      <c r="W15" s="4" t="str">
        <v>XX</v>
      </c>
      <c r="X15" s="4" t="str">
        <v>XX</v>
      </c>
      <c r="Y15" s="4" t="str">
        <v>XX</v>
      </c>
      <c r="Z15" s="4" t="str">
        <v>XX</v>
      </c>
      <c r="AA15" s="4" t="str">
        <v>XX</v>
      </c>
      <c r="AB15" s="4" t="str">
        <v>XX</v>
      </c>
      <c r="AC15" s="4" t="str">
        <v>XX</v>
      </c>
      <c r="AD15" s="4" t="str">
        <v>XX</v>
      </c>
      <c r="AE15" s="4" t="str">
        <v>XX</v>
      </c>
      <c r="AF15" s="4" t="str">
        <v>XX</v>
      </c>
      <c r="AG15" s="4" t="str">
        <v>XX</v>
      </c>
      <c r="AH15" s="4" t="str">
        <v>XX</v>
      </c>
      <c r="AI15" s="4" t="str">
        <v>XX</v>
      </c>
      <c r="AJ15" s="4" t="str">
        <v>XX</v>
      </c>
      <c r="AK15" s="4" t="str">
        <v>XX</v>
      </c>
    </row>
    <row r="16" spans="1:37" x14ac:dyDescent="0.25">
      <c r="B16" s="4" t="s">
        <v>27</v>
      </c>
      <c r="F16" s="4">
        <v>12</v>
      </c>
      <c r="G16" s="4">
        <v>-24</v>
      </c>
      <c r="H16" s="4">
        <v>-20.149999999999999</v>
      </c>
      <c r="I16" s="4">
        <v>-16.600000000000001</v>
      </c>
      <c r="J16" s="4">
        <v>-13.350000000000001</v>
      </c>
      <c r="K16" s="4">
        <v>-10.4</v>
      </c>
      <c r="L16" s="4">
        <v>-7.75</v>
      </c>
      <c r="M16" s="4">
        <v>-5.3999999999999986</v>
      </c>
      <c r="N16" s="4">
        <v>-3.3499999999999979</v>
      </c>
      <c r="O16" s="4">
        <v>-1.6000000000000014</v>
      </c>
      <c r="P16" s="4">
        <v>-0.14999999999999858</v>
      </c>
      <c r="Q16" s="4">
        <v>1</v>
      </c>
      <c r="R16" s="4">
        <v>1.8500000000000014</v>
      </c>
      <c r="S16" s="4">
        <v>2.4000000000000021</v>
      </c>
      <c r="T16" s="4" t="str">
        <v>XX</v>
      </c>
      <c r="U16" s="4" t="str">
        <v>XX</v>
      </c>
      <c r="V16" s="4" t="str">
        <v>XX</v>
      </c>
      <c r="W16" s="4" t="str">
        <v>XX</v>
      </c>
      <c r="X16" s="4" t="str">
        <v>XX</v>
      </c>
      <c r="Y16" s="4" t="str">
        <v>XX</v>
      </c>
      <c r="Z16" s="4" t="str">
        <v>XX</v>
      </c>
      <c r="AA16" s="4" t="str">
        <v>XX</v>
      </c>
      <c r="AB16" s="4" t="str">
        <v>XX</v>
      </c>
      <c r="AC16" s="4" t="str">
        <v>XX</v>
      </c>
      <c r="AD16" s="4" t="str">
        <v>XX</v>
      </c>
      <c r="AE16" s="4" t="str">
        <v>XX</v>
      </c>
      <c r="AF16" s="4" t="str">
        <v>XX</v>
      </c>
      <c r="AG16" s="4" t="str">
        <v>XX</v>
      </c>
      <c r="AH16" s="4" t="str">
        <v>XX</v>
      </c>
      <c r="AI16" s="4" t="str">
        <v>XX</v>
      </c>
      <c r="AJ16" s="4" t="str">
        <v>XX</v>
      </c>
      <c r="AK16" s="4" t="str">
        <v>XX</v>
      </c>
    </row>
    <row r="17" spans="6:37" x14ac:dyDescent="0.25">
      <c r="F17" s="4">
        <v>13</v>
      </c>
      <c r="G17" s="4">
        <v>-26</v>
      </c>
      <c r="H17" s="4">
        <v>-22.15</v>
      </c>
      <c r="I17" s="4">
        <v>-18.600000000000001</v>
      </c>
      <c r="J17" s="4">
        <v>-15.350000000000001</v>
      </c>
      <c r="K17" s="4">
        <v>-12.4</v>
      </c>
      <c r="L17" s="4">
        <v>-9.75</v>
      </c>
      <c r="M17" s="4">
        <v>-7.3999999999999986</v>
      </c>
      <c r="N17" s="4">
        <v>-5.3499999999999979</v>
      </c>
      <c r="O17" s="4">
        <v>-3.6000000000000014</v>
      </c>
      <c r="P17" s="4">
        <v>-2.1499999999999986</v>
      </c>
      <c r="Q17" s="4">
        <v>-1</v>
      </c>
      <c r="R17" s="4">
        <v>-0.14999999999999858</v>
      </c>
      <c r="S17" s="4">
        <v>0.40000000000000213</v>
      </c>
      <c r="T17" s="4">
        <v>0.64999999999999858</v>
      </c>
      <c r="U17" s="4" t="str">
        <v>XX</v>
      </c>
      <c r="V17" s="4" t="str">
        <v>XX</v>
      </c>
      <c r="W17" s="4" t="str">
        <v>XX</v>
      </c>
      <c r="X17" s="4" t="str">
        <v>XX</v>
      </c>
      <c r="Y17" s="4" t="str">
        <v>XX</v>
      </c>
      <c r="Z17" s="4" t="str">
        <v>XX</v>
      </c>
      <c r="AA17" s="4" t="str">
        <v>XX</v>
      </c>
      <c r="AB17" s="4" t="str">
        <v>XX</v>
      </c>
      <c r="AC17" s="4" t="str">
        <v>XX</v>
      </c>
      <c r="AD17" s="4" t="str">
        <v>XX</v>
      </c>
      <c r="AE17" s="4" t="str">
        <v>XX</v>
      </c>
      <c r="AF17" s="4" t="str">
        <v>XX</v>
      </c>
      <c r="AG17" s="4" t="str">
        <v>XX</v>
      </c>
      <c r="AH17" s="4" t="str">
        <v>XX</v>
      </c>
      <c r="AI17" s="4" t="str">
        <v>XX</v>
      </c>
      <c r="AJ17" s="4" t="str">
        <v>XX</v>
      </c>
      <c r="AK17" s="4" t="str">
        <v>XX</v>
      </c>
    </row>
    <row r="18" spans="6:37" ht="20" thickBot="1" x14ac:dyDescent="0.3">
      <c r="F18" s="4">
        <v>14</v>
      </c>
      <c r="G18" s="4">
        <v>-28</v>
      </c>
      <c r="H18" s="4">
        <v>-24.15</v>
      </c>
      <c r="I18" s="4">
        <v>-20.6</v>
      </c>
      <c r="J18" s="4">
        <v>-17.350000000000001</v>
      </c>
      <c r="K18" s="4">
        <v>-14.4</v>
      </c>
      <c r="L18" s="4">
        <v>-11.75</v>
      </c>
      <c r="M18" s="4">
        <v>-9.3999999999999986</v>
      </c>
      <c r="N18" s="4">
        <v>-7.3499999999999979</v>
      </c>
      <c r="O18" s="4">
        <v>-5.6000000000000014</v>
      </c>
      <c r="P18" s="4">
        <v>-4.1499999999999986</v>
      </c>
      <c r="Q18" s="4">
        <v>-3</v>
      </c>
      <c r="R18" s="4">
        <v>-2.1499999999999986</v>
      </c>
      <c r="S18" s="4">
        <v>-1.5999999999999979</v>
      </c>
      <c r="T18" s="4">
        <v>-1.3500000000000014</v>
      </c>
      <c r="U18" s="4">
        <v>-1.4000000000000021</v>
      </c>
      <c r="V18" s="4" t="str">
        <v>XX</v>
      </c>
      <c r="W18" s="4" t="str">
        <v>XX</v>
      </c>
      <c r="X18" s="4" t="str">
        <v>XX</v>
      </c>
      <c r="Y18" s="4" t="str">
        <v>XX</v>
      </c>
      <c r="Z18" s="4" t="str">
        <v>XX</v>
      </c>
      <c r="AA18" s="4" t="str">
        <v>XX</v>
      </c>
      <c r="AB18" s="4" t="str">
        <v>XX</v>
      </c>
      <c r="AC18" s="4" t="str">
        <v>XX</v>
      </c>
      <c r="AD18" s="4" t="str">
        <v>XX</v>
      </c>
      <c r="AE18" s="4" t="str">
        <v>XX</v>
      </c>
      <c r="AF18" s="4" t="str">
        <v>XX</v>
      </c>
      <c r="AG18" s="4" t="str">
        <v>XX</v>
      </c>
      <c r="AH18" s="4" t="str">
        <v>XX</v>
      </c>
      <c r="AI18" s="4" t="str">
        <v>XX</v>
      </c>
      <c r="AJ18" s="4" t="str">
        <v>XX</v>
      </c>
      <c r="AK18" s="4" t="str">
        <v>XX</v>
      </c>
    </row>
    <row r="19" spans="6:37" ht="20" thickBot="1" x14ac:dyDescent="0.3">
      <c r="F19" s="11">
        <v>15</v>
      </c>
      <c r="G19" s="4">
        <v>-18</v>
      </c>
      <c r="H19" s="4">
        <v>-14.15</v>
      </c>
      <c r="I19" s="4">
        <v>-10.6</v>
      </c>
      <c r="J19" s="4">
        <v>-7.3500000000000014</v>
      </c>
      <c r="K19" s="4">
        <v>-4.4000000000000004</v>
      </c>
      <c r="L19" s="4">
        <v>-1.75</v>
      </c>
      <c r="M19" s="4">
        <v>0.60000000000000142</v>
      </c>
      <c r="N19" s="4">
        <v>2.6500000000000021</v>
      </c>
      <c r="O19" s="4">
        <v>4.3999999999999986</v>
      </c>
      <c r="P19" s="4">
        <v>5.8500000000000014</v>
      </c>
      <c r="Q19" s="4">
        <v>7</v>
      </c>
      <c r="R19" s="4">
        <v>7.8500000000000014</v>
      </c>
      <c r="S19" s="4">
        <v>8.4000000000000021</v>
      </c>
      <c r="T19" s="12">
        <v>8.6499999999999986</v>
      </c>
      <c r="U19" s="4">
        <v>8.5999999999999979</v>
      </c>
      <c r="V19" s="4">
        <v>8.25</v>
      </c>
      <c r="W19" s="4" t="str">
        <v>XX</v>
      </c>
      <c r="X19" s="4" t="str">
        <v>XX</v>
      </c>
      <c r="Y19" s="4" t="str">
        <v>XX</v>
      </c>
      <c r="Z19" s="4" t="str">
        <v>XX</v>
      </c>
      <c r="AA19" s="4" t="str">
        <v>XX</v>
      </c>
      <c r="AB19" s="4" t="str">
        <v>XX</v>
      </c>
      <c r="AC19" s="4" t="str">
        <v>XX</v>
      </c>
      <c r="AD19" s="4" t="str">
        <v>XX</v>
      </c>
      <c r="AE19" s="4" t="str">
        <v>XX</v>
      </c>
      <c r="AF19" s="4" t="str">
        <v>XX</v>
      </c>
      <c r="AG19" s="4" t="str">
        <v>XX</v>
      </c>
      <c r="AH19" s="4" t="str">
        <v>XX</v>
      </c>
      <c r="AI19" s="4" t="str">
        <v>XX</v>
      </c>
      <c r="AJ19" s="4" t="str">
        <v>XX</v>
      </c>
      <c r="AK19" s="4" t="str">
        <v>XX</v>
      </c>
    </row>
    <row r="20" spans="6:37" x14ac:dyDescent="0.25">
      <c r="F20" s="4">
        <v>16</v>
      </c>
      <c r="G20" s="4">
        <v>-19.2</v>
      </c>
      <c r="H20" s="4">
        <v>-15.35</v>
      </c>
      <c r="I20" s="4">
        <v>-11.799999999999999</v>
      </c>
      <c r="J20" s="4">
        <v>-8.5500000000000007</v>
      </c>
      <c r="K20" s="4">
        <v>-5.6</v>
      </c>
      <c r="L20" s="4">
        <v>-2.9499999999999993</v>
      </c>
      <c r="M20" s="4">
        <v>-0.59999999999999787</v>
      </c>
      <c r="N20" s="4">
        <v>1.4500000000000028</v>
      </c>
      <c r="O20" s="4">
        <v>3.1999999999999993</v>
      </c>
      <c r="P20" s="4">
        <v>4.6500000000000021</v>
      </c>
      <c r="Q20" s="4">
        <v>5.8000000000000007</v>
      </c>
      <c r="R20" s="4">
        <v>6.6500000000000021</v>
      </c>
      <c r="S20" s="4">
        <v>7.2000000000000028</v>
      </c>
      <c r="T20" s="4">
        <v>7.4499999999999993</v>
      </c>
      <c r="U20" s="4">
        <v>7.3999999999999986</v>
      </c>
      <c r="V20" s="4">
        <v>7.0500000000000007</v>
      </c>
      <c r="W20" s="4">
        <v>6.4000000000000021</v>
      </c>
      <c r="X20" s="4" t="str">
        <v>XX</v>
      </c>
      <c r="Y20" s="4" t="str">
        <v>XX</v>
      </c>
      <c r="Z20" s="4" t="str">
        <v>XX</v>
      </c>
      <c r="AA20" s="4" t="str">
        <v>XX</v>
      </c>
      <c r="AB20" s="4" t="str">
        <v>XX</v>
      </c>
      <c r="AC20" s="4" t="str">
        <v>XX</v>
      </c>
      <c r="AD20" s="4" t="str">
        <v>XX</v>
      </c>
      <c r="AE20" s="4" t="str">
        <v>XX</v>
      </c>
      <c r="AF20" s="4" t="str">
        <v>XX</v>
      </c>
      <c r="AG20" s="4" t="str">
        <v>XX</v>
      </c>
      <c r="AH20" s="4" t="str">
        <v>XX</v>
      </c>
      <c r="AI20" s="4" t="str">
        <v>XX</v>
      </c>
      <c r="AJ20" s="4" t="str">
        <v>XX</v>
      </c>
      <c r="AK20" s="4" t="str">
        <v>XX</v>
      </c>
    </row>
    <row r="21" spans="6:37" x14ac:dyDescent="0.25">
      <c r="F21" s="4">
        <v>17</v>
      </c>
      <c r="G21" s="4">
        <v>-20.399999999999999</v>
      </c>
      <c r="H21" s="4">
        <v>-16.549999999999997</v>
      </c>
      <c r="I21" s="4">
        <v>-12.999999999999998</v>
      </c>
      <c r="J21" s="4">
        <v>-9.75</v>
      </c>
      <c r="K21" s="4">
        <v>-6.7999999999999989</v>
      </c>
      <c r="L21" s="4">
        <v>-4.1499999999999986</v>
      </c>
      <c r="M21" s="4">
        <v>-1.7999999999999972</v>
      </c>
      <c r="N21" s="4">
        <v>0.25000000000000355</v>
      </c>
      <c r="O21" s="4">
        <v>2</v>
      </c>
      <c r="P21" s="4">
        <v>3.4500000000000028</v>
      </c>
      <c r="Q21" s="4">
        <v>4.6000000000000014</v>
      </c>
      <c r="R21" s="4">
        <v>5.4500000000000028</v>
      </c>
      <c r="S21" s="4">
        <v>6.0000000000000036</v>
      </c>
      <c r="T21" s="4">
        <v>6.25</v>
      </c>
      <c r="U21" s="4">
        <v>6.1999999999999993</v>
      </c>
      <c r="V21" s="4">
        <v>5.8500000000000014</v>
      </c>
      <c r="W21" s="4">
        <v>5.2000000000000028</v>
      </c>
      <c r="X21" s="4">
        <v>4.2500000000000036</v>
      </c>
      <c r="Y21" s="4" t="str">
        <v>XX</v>
      </c>
      <c r="Z21" s="4" t="str">
        <v>XX</v>
      </c>
      <c r="AA21" s="4" t="str">
        <v>XX</v>
      </c>
      <c r="AB21" s="4" t="str">
        <v>XX</v>
      </c>
      <c r="AC21" s="4" t="str">
        <v>XX</v>
      </c>
      <c r="AD21" s="4" t="str">
        <v>XX</v>
      </c>
      <c r="AE21" s="4" t="str">
        <v>XX</v>
      </c>
      <c r="AF21" s="4" t="str">
        <v>XX</v>
      </c>
      <c r="AG21" s="4" t="str">
        <v>XX</v>
      </c>
      <c r="AH21" s="4" t="str">
        <v>XX</v>
      </c>
      <c r="AI21" s="4" t="str">
        <v>XX</v>
      </c>
      <c r="AJ21" s="4" t="str">
        <v>XX</v>
      </c>
      <c r="AK21" s="4" t="str">
        <v>XX</v>
      </c>
    </row>
    <row r="22" spans="6:37" x14ac:dyDescent="0.25">
      <c r="F22" s="4">
        <v>18</v>
      </c>
      <c r="G22" s="4">
        <v>-21.599999999999998</v>
      </c>
      <c r="H22" s="4">
        <v>-17.749999999999996</v>
      </c>
      <c r="I22" s="4">
        <v>-14.199999999999998</v>
      </c>
      <c r="J22" s="4">
        <v>-10.95</v>
      </c>
      <c r="K22" s="4">
        <v>-7.9999999999999982</v>
      </c>
      <c r="L22" s="4">
        <v>-5.3499999999999979</v>
      </c>
      <c r="M22" s="4">
        <v>-2.9999999999999964</v>
      </c>
      <c r="N22" s="4">
        <v>-0.94999999999999574</v>
      </c>
      <c r="O22" s="4">
        <v>0.80000000000000071</v>
      </c>
      <c r="P22" s="4">
        <v>2.2500000000000036</v>
      </c>
      <c r="Q22" s="4">
        <v>3.4000000000000021</v>
      </c>
      <c r="R22" s="4">
        <v>4.2500000000000036</v>
      </c>
      <c r="S22" s="4">
        <v>4.8000000000000043</v>
      </c>
      <c r="T22" s="4">
        <v>5.0500000000000007</v>
      </c>
      <c r="U22" s="4">
        <v>5</v>
      </c>
      <c r="V22" s="4">
        <v>4.6500000000000021</v>
      </c>
      <c r="W22" s="4">
        <v>4.0000000000000036</v>
      </c>
      <c r="X22" s="4">
        <v>3.0500000000000043</v>
      </c>
      <c r="Y22" s="4">
        <v>1.8000000000000078</v>
      </c>
      <c r="Z22" s="4" t="str">
        <v>XX</v>
      </c>
      <c r="AA22" s="4" t="str">
        <v>XX</v>
      </c>
      <c r="AB22" s="4" t="str">
        <v>XX</v>
      </c>
      <c r="AC22" s="4" t="str">
        <v>XX</v>
      </c>
      <c r="AD22" s="4" t="str">
        <v>XX</v>
      </c>
      <c r="AE22" s="4" t="str">
        <v>XX</v>
      </c>
      <c r="AF22" s="4" t="str">
        <v>XX</v>
      </c>
      <c r="AG22" s="4" t="str">
        <v>XX</v>
      </c>
      <c r="AH22" s="4" t="str">
        <v>XX</v>
      </c>
      <c r="AI22" s="4" t="str">
        <v>XX</v>
      </c>
      <c r="AJ22" s="4" t="str">
        <v>XX</v>
      </c>
      <c r="AK22" s="4" t="str">
        <v>XX</v>
      </c>
    </row>
    <row r="23" spans="6:37" x14ac:dyDescent="0.25">
      <c r="F23" s="4">
        <v>19</v>
      </c>
      <c r="G23" s="4">
        <v>-22.8</v>
      </c>
      <c r="H23" s="4">
        <v>-18.95</v>
      </c>
      <c r="I23" s="4">
        <v>-15.4</v>
      </c>
      <c r="J23" s="4">
        <v>-12.150000000000002</v>
      </c>
      <c r="K23" s="4">
        <v>-9.2000000000000011</v>
      </c>
      <c r="L23" s="4">
        <v>-6.5500000000000007</v>
      </c>
      <c r="M23" s="4">
        <v>-4.1999999999999993</v>
      </c>
      <c r="N23" s="4">
        <v>-2.1499999999999986</v>
      </c>
      <c r="O23" s="4">
        <v>-0.40000000000000213</v>
      </c>
      <c r="P23" s="4">
        <v>1.0500000000000007</v>
      </c>
      <c r="Q23" s="4">
        <v>2.1999999999999993</v>
      </c>
      <c r="R23" s="4">
        <v>3.0500000000000007</v>
      </c>
      <c r="S23" s="4">
        <v>3.6000000000000014</v>
      </c>
      <c r="T23" s="4">
        <v>3.8499999999999979</v>
      </c>
      <c r="U23" s="4">
        <v>3.7999999999999972</v>
      </c>
      <c r="V23" s="4">
        <v>3.4499999999999993</v>
      </c>
      <c r="W23" s="4">
        <v>2.8000000000000007</v>
      </c>
      <c r="X23" s="4">
        <v>1.8500000000000014</v>
      </c>
      <c r="Y23" s="4">
        <v>0.60000000000000497</v>
      </c>
      <c r="Z23" s="4">
        <v>-0.95000000000000284</v>
      </c>
      <c r="AA23" s="4" t="str">
        <v>XX</v>
      </c>
      <c r="AB23" s="4" t="str">
        <v>XX</v>
      </c>
      <c r="AC23" s="4" t="str">
        <v>XX</v>
      </c>
      <c r="AD23" s="4" t="str">
        <v>XX</v>
      </c>
      <c r="AE23" s="4" t="str">
        <v>XX</v>
      </c>
      <c r="AF23" s="4" t="str">
        <v>XX</v>
      </c>
      <c r="AG23" s="4" t="str">
        <v>XX</v>
      </c>
      <c r="AH23" s="4" t="str">
        <v>XX</v>
      </c>
      <c r="AI23" s="4" t="str">
        <v>XX</v>
      </c>
      <c r="AJ23" s="4" t="str">
        <v>XX</v>
      </c>
      <c r="AK23" s="4" t="str">
        <v>XX</v>
      </c>
    </row>
    <row r="24" spans="6:37" x14ac:dyDescent="0.25">
      <c r="F24" s="4">
        <v>20</v>
      </c>
      <c r="G24" s="4">
        <v>-24</v>
      </c>
      <c r="H24" s="4">
        <v>-20.149999999999999</v>
      </c>
      <c r="I24" s="4">
        <v>-16.600000000000001</v>
      </c>
      <c r="J24" s="4">
        <v>-13.350000000000001</v>
      </c>
      <c r="K24" s="4">
        <v>-10.4</v>
      </c>
      <c r="L24" s="4">
        <v>-7.75</v>
      </c>
      <c r="M24" s="4">
        <v>-5.3999999999999986</v>
      </c>
      <c r="N24" s="4">
        <v>-3.3499999999999979</v>
      </c>
      <c r="O24" s="4">
        <v>-1.6000000000000014</v>
      </c>
      <c r="P24" s="4">
        <v>-0.14999999999999858</v>
      </c>
      <c r="Q24" s="4">
        <v>1</v>
      </c>
      <c r="R24" s="4">
        <v>1.8500000000000014</v>
      </c>
      <c r="S24" s="4">
        <v>2.4000000000000021</v>
      </c>
      <c r="T24" s="4">
        <v>2.6499999999999986</v>
      </c>
      <c r="U24" s="4">
        <v>2.5999999999999979</v>
      </c>
      <c r="V24" s="4">
        <v>2.25</v>
      </c>
      <c r="W24" s="4">
        <v>1.6000000000000014</v>
      </c>
      <c r="X24" s="4">
        <v>0.65000000000000213</v>
      </c>
      <c r="Y24" s="4">
        <v>-0.59999999999999432</v>
      </c>
      <c r="Z24" s="4">
        <v>-2.1500000000000021</v>
      </c>
      <c r="AA24" s="4">
        <v>-4</v>
      </c>
      <c r="AB24" s="4" t="str">
        <v>XX</v>
      </c>
      <c r="AC24" s="4" t="str">
        <v>XX</v>
      </c>
      <c r="AD24" s="4" t="str">
        <v>XX</v>
      </c>
      <c r="AE24" s="4" t="str">
        <v>XX</v>
      </c>
      <c r="AF24" s="4" t="str">
        <v>XX</v>
      </c>
      <c r="AG24" s="4" t="str">
        <v>XX</v>
      </c>
      <c r="AH24" s="4" t="str">
        <v>XX</v>
      </c>
      <c r="AI24" s="4" t="str">
        <v>XX</v>
      </c>
      <c r="AJ24" s="4" t="str">
        <v>XX</v>
      </c>
      <c r="AK24" s="4" t="str">
        <v>XX</v>
      </c>
    </row>
    <row r="25" spans="6:37" x14ac:dyDescent="0.25">
      <c r="F25" s="4">
        <v>21</v>
      </c>
      <c r="G25" s="4">
        <v>-25.2</v>
      </c>
      <c r="H25" s="4">
        <v>-21.349999999999998</v>
      </c>
      <c r="I25" s="4">
        <v>-17.799999999999997</v>
      </c>
      <c r="J25" s="4">
        <v>-14.55</v>
      </c>
      <c r="K25" s="4">
        <v>-11.6</v>
      </c>
      <c r="L25" s="4">
        <v>-8.9499999999999993</v>
      </c>
      <c r="M25" s="4">
        <v>-6.5999999999999979</v>
      </c>
      <c r="N25" s="4">
        <v>-4.5499999999999972</v>
      </c>
      <c r="O25" s="4">
        <v>-2.8000000000000007</v>
      </c>
      <c r="P25" s="4">
        <v>-1.3499999999999979</v>
      </c>
      <c r="Q25" s="4">
        <v>-0.19999999999999929</v>
      </c>
      <c r="R25" s="4">
        <v>0.65000000000000213</v>
      </c>
      <c r="S25" s="4">
        <v>1.2000000000000028</v>
      </c>
      <c r="T25" s="4">
        <v>1.4499999999999993</v>
      </c>
      <c r="U25" s="4">
        <v>1.3999999999999986</v>
      </c>
      <c r="V25" s="4">
        <v>1.0500000000000007</v>
      </c>
      <c r="W25" s="4">
        <v>0.40000000000000213</v>
      </c>
      <c r="X25" s="4">
        <v>-0.54999999999999716</v>
      </c>
      <c r="Y25" s="4">
        <v>-1.7999999999999936</v>
      </c>
      <c r="Z25" s="4">
        <v>-3.3500000000000014</v>
      </c>
      <c r="AA25" s="4">
        <v>-5.1999999999999993</v>
      </c>
      <c r="AB25" s="4">
        <v>-7.3499999999999979</v>
      </c>
      <c r="AC25" s="4" t="str">
        <v>XX</v>
      </c>
      <c r="AD25" s="4" t="str">
        <v>XX</v>
      </c>
      <c r="AE25" s="4" t="str">
        <v>XX</v>
      </c>
      <c r="AF25" s="4" t="str">
        <v>XX</v>
      </c>
      <c r="AG25" s="4" t="str">
        <v>XX</v>
      </c>
      <c r="AH25" s="4" t="str">
        <v>XX</v>
      </c>
      <c r="AI25" s="4" t="str">
        <v>XX</v>
      </c>
      <c r="AJ25" s="4" t="str">
        <v>XX</v>
      </c>
      <c r="AK25" s="4" t="str">
        <v>XX</v>
      </c>
    </row>
    <row r="26" spans="6:37" x14ac:dyDescent="0.25">
      <c r="F26" s="4">
        <v>22</v>
      </c>
      <c r="G26" s="4">
        <v>-26.4</v>
      </c>
      <c r="H26" s="4">
        <v>-22.549999999999997</v>
      </c>
      <c r="I26" s="4">
        <v>-19</v>
      </c>
      <c r="J26" s="4">
        <v>-15.75</v>
      </c>
      <c r="K26" s="4">
        <v>-12.799999999999999</v>
      </c>
      <c r="L26" s="4">
        <v>-10.149999999999999</v>
      </c>
      <c r="M26" s="4">
        <v>-7.7999999999999972</v>
      </c>
      <c r="N26" s="4">
        <v>-5.7499999999999964</v>
      </c>
      <c r="O26" s="4">
        <v>-4</v>
      </c>
      <c r="P26" s="4">
        <v>-2.5499999999999972</v>
      </c>
      <c r="Q26" s="4">
        <v>-1.3999999999999986</v>
      </c>
      <c r="R26" s="4">
        <v>-0.54999999999999716</v>
      </c>
      <c r="S26" s="4">
        <v>0</v>
      </c>
      <c r="T26" s="4">
        <v>0.25</v>
      </c>
      <c r="U26" s="4">
        <v>0.19999999999999929</v>
      </c>
      <c r="V26" s="4">
        <v>-0.14999999999999858</v>
      </c>
      <c r="W26" s="4">
        <v>-0.79999999999999716</v>
      </c>
      <c r="X26" s="4">
        <v>-1.7499999999999964</v>
      </c>
      <c r="Y26" s="4">
        <v>-2.9999999999999929</v>
      </c>
      <c r="Z26" s="4">
        <v>-4.5500000000000007</v>
      </c>
      <c r="AA26" s="4">
        <v>-6.3999999999999986</v>
      </c>
      <c r="AB26" s="4">
        <v>-8.5499999999999972</v>
      </c>
      <c r="AC26" s="4">
        <v>-10.999999999999995</v>
      </c>
      <c r="AD26" s="4" t="str">
        <v>XX</v>
      </c>
      <c r="AE26" s="4" t="str">
        <v>XX</v>
      </c>
      <c r="AF26" s="4" t="str">
        <v>XX</v>
      </c>
      <c r="AG26" s="4" t="str">
        <v>XX</v>
      </c>
      <c r="AH26" s="4" t="str">
        <v>XX</v>
      </c>
      <c r="AI26" s="4" t="str">
        <v>XX</v>
      </c>
      <c r="AJ26" s="4" t="str">
        <v>XX</v>
      </c>
      <c r="AK26" s="4" t="str">
        <v>XX</v>
      </c>
    </row>
    <row r="27" spans="6:37" x14ac:dyDescent="0.25">
      <c r="F27" s="4">
        <v>23</v>
      </c>
      <c r="G27" s="4">
        <v>-27.599999999999998</v>
      </c>
      <c r="H27" s="4">
        <v>-23.749999999999996</v>
      </c>
      <c r="I27" s="4">
        <v>-20.199999999999996</v>
      </c>
      <c r="J27" s="4">
        <v>-16.95</v>
      </c>
      <c r="K27" s="4">
        <v>-13.999999999999998</v>
      </c>
      <c r="L27" s="4">
        <v>-11.349999999999998</v>
      </c>
      <c r="M27" s="4">
        <v>-8.9999999999999964</v>
      </c>
      <c r="N27" s="4">
        <v>-6.9499999999999957</v>
      </c>
      <c r="O27" s="4">
        <v>-5.1999999999999993</v>
      </c>
      <c r="P27" s="4">
        <v>-3.7499999999999964</v>
      </c>
      <c r="Q27" s="4">
        <v>-2.5999999999999979</v>
      </c>
      <c r="R27" s="4">
        <v>-1.7499999999999964</v>
      </c>
      <c r="S27" s="4">
        <v>-1.1999999999999957</v>
      </c>
      <c r="T27" s="4">
        <v>-0.94999999999999929</v>
      </c>
      <c r="U27" s="4">
        <v>-1</v>
      </c>
      <c r="V27" s="4">
        <v>-1.3499999999999979</v>
      </c>
      <c r="W27" s="4">
        <v>-1.9999999999999964</v>
      </c>
      <c r="X27" s="4">
        <v>-2.9499999999999957</v>
      </c>
      <c r="Y27" s="4">
        <v>-4.1999999999999922</v>
      </c>
      <c r="Z27" s="4">
        <v>-5.75</v>
      </c>
      <c r="AA27" s="4">
        <v>-7.5999999999999979</v>
      </c>
      <c r="AB27" s="4">
        <v>-9.7499999999999964</v>
      </c>
      <c r="AC27" s="4">
        <v>-12.199999999999994</v>
      </c>
      <c r="AD27" s="4">
        <v>-14.949999999999992</v>
      </c>
      <c r="AE27" s="4" t="str">
        <v>XX</v>
      </c>
      <c r="AF27" s="4" t="str">
        <v>XX</v>
      </c>
      <c r="AG27" s="4" t="str">
        <v>XX</v>
      </c>
      <c r="AH27" s="4" t="str">
        <v>XX</v>
      </c>
      <c r="AI27" s="4" t="str">
        <v>XX</v>
      </c>
      <c r="AJ27" s="4" t="str">
        <v>XX</v>
      </c>
      <c r="AK27" s="4" t="str">
        <v>XX</v>
      </c>
    </row>
    <row r="28" spans="6:37" x14ac:dyDescent="0.25">
      <c r="F28" s="4">
        <v>24</v>
      </c>
      <c r="G28" s="4">
        <v>-28.799999999999997</v>
      </c>
      <c r="H28" s="4">
        <v>-24.949999999999996</v>
      </c>
      <c r="I28" s="4">
        <v>-21.4</v>
      </c>
      <c r="J28" s="4">
        <v>-18.149999999999999</v>
      </c>
      <c r="K28" s="4">
        <v>-15.199999999999998</v>
      </c>
      <c r="L28" s="4">
        <v>-12.549999999999997</v>
      </c>
      <c r="M28" s="4">
        <v>-10.199999999999996</v>
      </c>
      <c r="N28" s="4">
        <v>-8.149999999999995</v>
      </c>
      <c r="O28" s="4">
        <v>-6.3999999999999986</v>
      </c>
      <c r="P28" s="4">
        <v>-4.9499999999999957</v>
      </c>
      <c r="Q28" s="4">
        <v>-3.7999999999999972</v>
      </c>
      <c r="R28" s="4">
        <v>-2.9499999999999957</v>
      </c>
      <c r="S28" s="4">
        <v>-2.399999999999995</v>
      </c>
      <c r="T28" s="4">
        <v>-2.1499999999999986</v>
      </c>
      <c r="U28" s="4">
        <v>-2.1999999999999993</v>
      </c>
      <c r="V28" s="4">
        <v>-2.5499999999999972</v>
      </c>
      <c r="W28" s="4">
        <v>-3.1999999999999957</v>
      </c>
      <c r="X28" s="4">
        <v>-4.149999999999995</v>
      </c>
      <c r="Y28" s="4">
        <v>-5.3999999999999915</v>
      </c>
      <c r="Z28" s="4">
        <v>-6.9499999999999993</v>
      </c>
      <c r="AA28" s="4">
        <v>-8.7999999999999972</v>
      </c>
      <c r="AB28" s="4">
        <v>-10.949999999999996</v>
      </c>
      <c r="AC28" s="4">
        <v>-13.399999999999993</v>
      </c>
      <c r="AD28" s="4">
        <v>-16.149999999999991</v>
      </c>
      <c r="AE28" s="4">
        <v>-19.199999999999989</v>
      </c>
      <c r="AF28" s="4" t="str">
        <v>XX</v>
      </c>
      <c r="AG28" s="4" t="str">
        <v>XX</v>
      </c>
      <c r="AH28" s="4" t="str">
        <v>XX</v>
      </c>
      <c r="AI28" s="4" t="str">
        <v>XX</v>
      </c>
      <c r="AJ28" s="4" t="str">
        <v>XX</v>
      </c>
      <c r="AK28" s="4" t="str">
        <v>XX</v>
      </c>
    </row>
    <row r="29" spans="6:37" x14ac:dyDescent="0.25">
      <c r="F29" s="4">
        <v>25</v>
      </c>
      <c r="G29" s="4">
        <v>-30</v>
      </c>
      <c r="H29" s="4">
        <v>-26.15</v>
      </c>
      <c r="I29" s="4">
        <v>-22.6</v>
      </c>
      <c r="J29" s="4">
        <v>-19.350000000000001</v>
      </c>
      <c r="K29" s="4">
        <v>-16.399999999999999</v>
      </c>
      <c r="L29" s="4">
        <v>-13.75</v>
      </c>
      <c r="M29" s="4">
        <v>-11.399999999999999</v>
      </c>
      <c r="N29" s="4">
        <v>-9.3499999999999979</v>
      </c>
      <c r="O29" s="4">
        <v>-7.6000000000000014</v>
      </c>
      <c r="P29" s="4">
        <v>-6.1499999999999986</v>
      </c>
      <c r="Q29" s="4">
        <v>-5</v>
      </c>
      <c r="R29" s="4">
        <v>-4.1499999999999986</v>
      </c>
      <c r="S29" s="4">
        <v>-3.5999999999999979</v>
      </c>
      <c r="T29" s="4">
        <v>-3.3500000000000014</v>
      </c>
      <c r="U29" s="4">
        <v>-3.4000000000000021</v>
      </c>
      <c r="V29" s="4">
        <v>-3.75</v>
      </c>
      <c r="W29" s="4">
        <v>-4.3999999999999986</v>
      </c>
      <c r="X29" s="4">
        <v>-5.3499999999999979</v>
      </c>
      <c r="Y29" s="4">
        <v>-6.5999999999999943</v>
      </c>
      <c r="Z29" s="4">
        <v>-8.1500000000000021</v>
      </c>
      <c r="AA29" s="4">
        <v>-10</v>
      </c>
      <c r="AB29" s="4">
        <v>-12.149999999999999</v>
      </c>
      <c r="AC29" s="4">
        <v>-14.599999999999996</v>
      </c>
      <c r="AD29" s="4">
        <v>-17.349999999999994</v>
      </c>
      <c r="AE29" s="4">
        <v>-20.399999999999991</v>
      </c>
      <c r="AF29" s="4">
        <v>-23.75</v>
      </c>
      <c r="AG29" s="4" t="str">
        <v>XX</v>
      </c>
      <c r="AH29" s="4" t="str">
        <v>XX</v>
      </c>
      <c r="AI29" s="4" t="str">
        <v>XX</v>
      </c>
      <c r="AJ29" s="4" t="str">
        <v>XX</v>
      </c>
      <c r="AK29" s="4" t="str">
        <v>XX</v>
      </c>
    </row>
    <row r="30" spans="6:37" x14ac:dyDescent="0.25">
      <c r="F30" s="4">
        <v>26</v>
      </c>
      <c r="G30" s="4">
        <v>-31.2</v>
      </c>
      <c r="H30" s="4">
        <v>-27.349999999999998</v>
      </c>
      <c r="I30" s="4">
        <v>-23.799999999999997</v>
      </c>
      <c r="J30" s="4">
        <v>-20.55</v>
      </c>
      <c r="K30" s="4">
        <v>-17.600000000000001</v>
      </c>
      <c r="L30" s="4">
        <v>-14.95</v>
      </c>
      <c r="M30" s="4">
        <v>-12.599999999999998</v>
      </c>
      <c r="N30" s="4">
        <v>-10.549999999999997</v>
      </c>
      <c r="O30" s="4">
        <v>-8.8000000000000007</v>
      </c>
      <c r="P30" s="4">
        <v>-7.3499999999999979</v>
      </c>
      <c r="Q30" s="4">
        <v>-6.1999999999999993</v>
      </c>
      <c r="R30" s="4">
        <v>-5.3499999999999979</v>
      </c>
      <c r="S30" s="4">
        <v>-4.7999999999999972</v>
      </c>
      <c r="T30" s="4">
        <v>-4.5500000000000007</v>
      </c>
      <c r="U30" s="4">
        <v>-4.6000000000000014</v>
      </c>
      <c r="V30" s="4">
        <v>-4.9499999999999993</v>
      </c>
      <c r="W30" s="4">
        <v>-5.5999999999999979</v>
      </c>
      <c r="X30" s="4">
        <v>-6.5499999999999972</v>
      </c>
      <c r="Y30" s="4">
        <v>-7.7999999999999936</v>
      </c>
      <c r="Z30" s="4">
        <v>-9.3500000000000014</v>
      </c>
      <c r="AA30" s="4">
        <v>-11.2</v>
      </c>
      <c r="AB30" s="4">
        <v>-13.349999999999998</v>
      </c>
      <c r="AC30" s="4">
        <v>-15.799999999999995</v>
      </c>
      <c r="AD30" s="4">
        <v>-18.549999999999994</v>
      </c>
      <c r="AE30" s="4">
        <v>-21.599999999999991</v>
      </c>
      <c r="AF30" s="4">
        <v>-24.95</v>
      </c>
      <c r="AG30" s="4">
        <v>-28.599999999999998</v>
      </c>
      <c r="AH30" s="4" t="str">
        <v>XX</v>
      </c>
      <c r="AI30" s="4" t="str">
        <v>XX</v>
      </c>
      <c r="AJ30" s="4" t="str">
        <v>XX</v>
      </c>
      <c r="AK30" s="4" t="str">
        <v>XX</v>
      </c>
    </row>
    <row r="31" spans="6:37" x14ac:dyDescent="0.25">
      <c r="F31" s="4">
        <v>27</v>
      </c>
      <c r="G31" s="4">
        <v>-32.4</v>
      </c>
      <c r="H31" s="4">
        <v>-28.549999999999997</v>
      </c>
      <c r="I31" s="4">
        <v>-25</v>
      </c>
      <c r="J31" s="4">
        <v>-21.75</v>
      </c>
      <c r="K31" s="4">
        <v>-18.799999999999997</v>
      </c>
      <c r="L31" s="4">
        <v>-16.149999999999999</v>
      </c>
      <c r="M31" s="4">
        <v>-13.799999999999997</v>
      </c>
      <c r="N31" s="4">
        <v>-11.749999999999996</v>
      </c>
      <c r="O31" s="4">
        <v>-10</v>
      </c>
      <c r="P31" s="4">
        <v>-8.5499999999999972</v>
      </c>
      <c r="Q31" s="4">
        <v>-7.3999999999999986</v>
      </c>
      <c r="R31" s="4">
        <v>-6.5499999999999972</v>
      </c>
      <c r="S31" s="4">
        <v>-5.9999999999999964</v>
      </c>
      <c r="T31" s="4">
        <v>-5.75</v>
      </c>
      <c r="U31" s="4">
        <v>-5.8000000000000007</v>
      </c>
      <c r="V31" s="4">
        <v>-6.1499999999999986</v>
      </c>
      <c r="W31" s="4">
        <v>-6.7999999999999972</v>
      </c>
      <c r="X31" s="4">
        <v>-7.7499999999999964</v>
      </c>
      <c r="Y31" s="4">
        <v>-8.9999999999999929</v>
      </c>
      <c r="Z31" s="4">
        <v>-10.55</v>
      </c>
      <c r="AA31" s="4">
        <v>-12.399999999999999</v>
      </c>
      <c r="AB31" s="4">
        <v>-14.549999999999997</v>
      </c>
      <c r="AC31" s="4">
        <v>-16.999999999999993</v>
      </c>
      <c r="AD31" s="4">
        <v>-19.749999999999993</v>
      </c>
      <c r="AE31" s="4">
        <v>-22.79999999999999</v>
      </c>
      <c r="AF31" s="4">
        <v>-26.15</v>
      </c>
      <c r="AG31" s="4">
        <v>-29.799999999999997</v>
      </c>
      <c r="AH31" s="4">
        <v>-33.749999999999993</v>
      </c>
      <c r="AI31" s="4" t="str">
        <v>XX</v>
      </c>
      <c r="AJ31" s="4" t="str">
        <v>XX</v>
      </c>
      <c r="AK31" s="4" t="str">
        <v>XX</v>
      </c>
    </row>
    <row r="32" spans="6:37" x14ac:dyDescent="0.25">
      <c r="F32" s="4">
        <v>28</v>
      </c>
      <c r="G32" s="4">
        <v>-33.6</v>
      </c>
      <c r="H32" s="4">
        <v>-29.75</v>
      </c>
      <c r="I32" s="4">
        <v>-26.200000000000003</v>
      </c>
      <c r="J32" s="4">
        <v>-22.950000000000003</v>
      </c>
      <c r="K32" s="4">
        <v>-20</v>
      </c>
      <c r="L32" s="4">
        <v>-17.350000000000001</v>
      </c>
      <c r="M32" s="4">
        <v>-15</v>
      </c>
      <c r="N32" s="4">
        <v>-12.95</v>
      </c>
      <c r="O32" s="4">
        <v>-11.200000000000003</v>
      </c>
      <c r="P32" s="4">
        <v>-9.75</v>
      </c>
      <c r="Q32" s="4">
        <v>-8.6000000000000014</v>
      </c>
      <c r="R32" s="4">
        <v>-7.75</v>
      </c>
      <c r="S32" s="4">
        <v>-7.1999999999999993</v>
      </c>
      <c r="T32" s="4">
        <v>-6.9500000000000028</v>
      </c>
      <c r="U32" s="4">
        <v>-7.0000000000000036</v>
      </c>
      <c r="V32" s="4">
        <v>-7.3500000000000014</v>
      </c>
      <c r="W32" s="4">
        <v>-8</v>
      </c>
      <c r="X32" s="4">
        <v>-8.9499999999999993</v>
      </c>
      <c r="Y32" s="4">
        <v>-10.199999999999996</v>
      </c>
      <c r="Z32" s="4">
        <v>-11.750000000000004</v>
      </c>
      <c r="AA32" s="4">
        <v>-13.600000000000001</v>
      </c>
      <c r="AB32" s="4">
        <v>-15.75</v>
      </c>
      <c r="AC32" s="4">
        <v>-18.199999999999996</v>
      </c>
      <c r="AD32" s="4">
        <v>-20.949999999999996</v>
      </c>
      <c r="AE32" s="4">
        <v>-23.999999999999993</v>
      </c>
      <c r="AF32" s="4">
        <v>-27.35</v>
      </c>
      <c r="AG32" s="4">
        <v>-31</v>
      </c>
      <c r="AH32" s="4">
        <v>-34.949999999999996</v>
      </c>
      <c r="AI32" s="4">
        <v>-39.200000000000003</v>
      </c>
      <c r="AJ32" s="4" t="str">
        <v>XX</v>
      </c>
      <c r="AK32" s="4" t="str">
        <v>XX</v>
      </c>
    </row>
    <row r="33" spans="6:37" x14ac:dyDescent="0.25">
      <c r="F33" s="4">
        <v>29</v>
      </c>
      <c r="G33" s="4">
        <v>-34.799999999999997</v>
      </c>
      <c r="H33" s="4">
        <v>-30.949999999999996</v>
      </c>
      <c r="I33" s="4">
        <v>-27.4</v>
      </c>
      <c r="J33" s="4">
        <v>-24.15</v>
      </c>
      <c r="K33" s="4">
        <v>-21.199999999999996</v>
      </c>
      <c r="L33" s="4">
        <v>-18.549999999999997</v>
      </c>
      <c r="M33" s="4">
        <v>-16.199999999999996</v>
      </c>
      <c r="N33" s="4">
        <v>-14.149999999999995</v>
      </c>
      <c r="O33" s="4">
        <v>-12.399999999999999</v>
      </c>
      <c r="P33" s="4">
        <v>-10.949999999999996</v>
      </c>
      <c r="Q33" s="4">
        <v>-9.7999999999999972</v>
      </c>
      <c r="R33" s="4">
        <v>-8.9499999999999957</v>
      </c>
      <c r="S33" s="4">
        <v>-8.399999999999995</v>
      </c>
      <c r="T33" s="4">
        <v>-8.1499999999999986</v>
      </c>
      <c r="U33" s="4">
        <v>-8.1999999999999993</v>
      </c>
      <c r="V33" s="4">
        <v>-8.5499999999999972</v>
      </c>
      <c r="W33" s="4">
        <v>-9.1999999999999957</v>
      </c>
      <c r="X33" s="4">
        <v>-10.149999999999995</v>
      </c>
      <c r="Y33" s="4">
        <v>-11.399999999999991</v>
      </c>
      <c r="Z33" s="4">
        <v>-12.95</v>
      </c>
      <c r="AA33" s="4">
        <v>-14.799999999999997</v>
      </c>
      <c r="AB33" s="4">
        <v>-16.949999999999996</v>
      </c>
      <c r="AC33" s="4">
        <v>-19.399999999999991</v>
      </c>
      <c r="AD33" s="4">
        <v>-22.149999999999991</v>
      </c>
      <c r="AE33" s="4">
        <v>-25.199999999999989</v>
      </c>
      <c r="AF33" s="4">
        <v>-28.549999999999997</v>
      </c>
      <c r="AG33" s="4">
        <v>-32.199999999999996</v>
      </c>
      <c r="AH33" s="4">
        <v>-36.149999999999991</v>
      </c>
      <c r="AI33" s="4">
        <v>-40.400000000000006</v>
      </c>
      <c r="AJ33" s="4">
        <v>-44.949999999999989</v>
      </c>
      <c r="AK33" s="4" t="str">
        <v>XX</v>
      </c>
    </row>
    <row r="34" spans="6:37" x14ac:dyDescent="0.25">
      <c r="F34" s="4">
        <v>30</v>
      </c>
      <c r="G34" s="4">
        <v>-36</v>
      </c>
      <c r="H34" s="4">
        <v>-32.15</v>
      </c>
      <c r="I34" s="4">
        <v>-28.6</v>
      </c>
      <c r="J34" s="4">
        <v>-25.35</v>
      </c>
      <c r="K34" s="4">
        <v>-22.4</v>
      </c>
      <c r="L34" s="4">
        <v>-19.75</v>
      </c>
      <c r="M34" s="4">
        <v>-17.399999999999999</v>
      </c>
      <c r="N34" s="4">
        <v>-15.349999999999998</v>
      </c>
      <c r="O34" s="4">
        <v>-13.600000000000001</v>
      </c>
      <c r="P34" s="4">
        <v>-12.149999999999999</v>
      </c>
      <c r="Q34" s="4">
        <v>-11</v>
      </c>
      <c r="R34" s="4">
        <v>-10.149999999999999</v>
      </c>
      <c r="S34" s="4">
        <v>-9.5999999999999979</v>
      </c>
      <c r="T34" s="4">
        <v>-9.3500000000000014</v>
      </c>
      <c r="U34" s="4">
        <v>-9.4000000000000021</v>
      </c>
      <c r="V34" s="4">
        <v>-9.75</v>
      </c>
      <c r="W34" s="4">
        <v>-10.399999999999999</v>
      </c>
      <c r="X34" s="4">
        <v>-11.349999999999998</v>
      </c>
      <c r="Y34" s="4">
        <v>-12.599999999999994</v>
      </c>
      <c r="Z34" s="4">
        <v>-14.150000000000002</v>
      </c>
      <c r="AA34" s="4">
        <v>-16</v>
      </c>
      <c r="AB34" s="4">
        <v>-18.149999999999999</v>
      </c>
      <c r="AC34" s="4">
        <v>-20.599999999999994</v>
      </c>
      <c r="AD34" s="4">
        <v>-23.349999999999994</v>
      </c>
      <c r="AE34" s="4">
        <v>-26.399999999999991</v>
      </c>
      <c r="AF34" s="4">
        <v>-29.75</v>
      </c>
      <c r="AG34" s="4">
        <v>-33.4</v>
      </c>
      <c r="AH34" s="4">
        <v>-37.349999999999994</v>
      </c>
      <c r="AI34" s="4">
        <v>-41.600000000000009</v>
      </c>
      <c r="AJ34" s="4">
        <v>-46.149999999999991</v>
      </c>
      <c r="AK34" s="4">
        <v>-51</v>
      </c>
    </row>
  </sheetData>
  <mergeCells count="1">
    <mergeCell ref="A1:F1"/>
  </mergeCells>
  <conditionalFormatting sqref="G4:AK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Quantity Optimization</vt:lpstr>
      <vt:lpstr>Drawing the Function</vt:lpstr>
      <vt:lpstr>Purchase and Sales Optimization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aviv</dc:creator>
  <cp:lastModifiedBy>Danko Turcic</cp:lastModifiedBy>
  <dcterms:created xsi:type="dcterms:W3CDTF">2008-11-13T14:07:31Z</dcterms:created>
  <dcterms:modified xsi:type="dcterms:W3CDTF">2025-04-08T03:35:57Z</dcterms:modified>
</cp:coreProperties>
</file>